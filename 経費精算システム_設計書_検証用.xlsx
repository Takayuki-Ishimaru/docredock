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03a063b84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・改訂" sheetId="1" r:id="R80027c3077e84ed2"/>
    <x:sheet xmlns:r="http://schemas.openxmlformats.org/officeDocument/2006/relationships" name="01_システム概要" sheetId="2" r:id="R41a535e2a07040b7"/>
    <x:sheet xmlns:r="http://schemas.openxmlformats.org/officeDocument/2006/relationships" name="02_振る舞い図" sheetId="3" r:id="Rf5d32939a4114545"/>
    <x:sheet xmlns:r="http://schemas.openxmlformats.org/officeDocument/2006/relationships" name="03_シーケンス図" sheetId="4" r:id="R022b966201a54b4f"/>
    <x:sheet xmlns:r="http://schemas.openxmlformats.org/officeDocument/2006/relationships" name="04_業務フロー" sheetId="5" r:id="R51d486c237e64ef4"/>
    <x:sheet xmlns:r="http://schemas.openxmlformats.org/officeDocument/2006/relationships" name="05_画面・入力仕様" sheetId="6" r:id="R0c08a6e57a124f45"/>
    <x:sheet xmlns:r="http://schemas.openxmlformats.org/officeDocument/2006/relationships" name="06_API・データ" sheetId="7" r:id="Rd31dc5a4f6bd4259"/>
    <x:sheet xmlns:r="http://schemas.openxmlformats.org/officeDocument/2006/relationships" name="07_テストシナリオ" sheetId="8" r:id="R8533bb0b6e8b45dc"/>
    <x:sheet xmlns:r="http://schemas.openxmlformats.org/officeDocument/2006/relationships" name="08_非機能・運用" sheetId="9" r:id="Rc682a60b86554d56"/>
    <x:sheet xmlns:r="http://schemas.openxmlformats.org/officeDocument/2006/relationships" name="99_凡例・参考" sheetId="10" r:id="R76e68c5964b74ed4"/>
    <x:sheet xmlns:r="http://schemas.openxmlformats.org/officeDocument/2006/relationships" name="09_画像・OCR検証" sheetId="11" r:id="R4358a63c6e10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 円&quot;"/>
    <x:numFmt numFmtId="201" formatCode="#,##0"/>
  </x:numFmts>
  <x:fonts count="45">
    <x:font>
      <x:sz val="11"/>
      <x:name val="Carlito"/>
    </x:font>
    <x:font>
      <x:sz val="9"/>
      <x:color rgb="FF1F1F1F"/>
      <x:name val="Yu Gothic"/>
    </x:font>
    <x:font>
      <x:b/>
      <x:sz val="22"/>
      <x:color rgb="FFFFFFFF"/>
      <x:name val="Yu Gothic"/>
    </x:font>
    <x:font>
      <x:b/>
      <x:sz val="14"/>
      <x:color rgb="FF1F4E78"/>
      <x:name val="Yu Gothic"/>
    </x:font>
    <x:font>
      <x:b/>
      <x:sz val="9"/>
      <x:color rgb="FF1F1F1F"/>
      <x:name val="Yu Gothic"/>
    </x:font>
    <x:font>
      <x:sz val="9"/>
      <x:color rgb="FF1F1F1F"/>
      <x:name val="Yu Gothic"/>
    </x:font>
    <x:font>
      <x:b/>
      <x:sz val="11"/>
      <x:color rgb="FFFFFFFF"/>
      <x:name val="Yu Gothic"/>
    </x:font>
    <x:font>
      <x:sz val="8"/>
      <x:color rgb="FF1F1F1F"/>
      <x:name val="Yu Gothic"/>
    </x:font>
    <x:font>
      <x:b/>
      <x:sz val="8"/>
      <x:color rgb="FFFFFFFF"/>
      <x:name val="Yu Gothic"/>
    </x:font>
    <x:font>
      <x:b/>
      <x:sz val="16"/>
      <x:color rgb="FFFFFFFF"/>
      <x:name val="Yu Gothic"/>
    </x:font>
    <x:font>
      <x:sz val="9"/>
      <x:color rgb="FF1F4E78"/>
      <x:name val="Yu Gothic"/>
    </x:font>
    <x:font>
      <x:sz val="7"/>
      <x:color rgb="FF666666"/>
      <x:name val="Yu Gothic"/>
    </x:font>
    <x:font>
      <x:b/>
      <x:sz val="8"/>
      <x:color rgb="FF1F1F1F"/>
      <x:name val="Yu Gothic"/>
    </x:font>
    <x:font>
      <x:sz val="8"/>
      <x:color rgb="FF4472C4"/>
      <x:name val="Yu Gothic"/>
    </x:font>
    <x:font>
      <x:sz val="8"/>
      <x:color rgb="FF7030A0"/>
      <x:name val="Yu Gothic"/>
    </x:font>
    <x:font>
      <x:sz val="8"/>
      <x:color rgb="FF548235"/>
      <x:name val="Yu Gothic"/>
    </x:font>
    <x:font>
      <x:sz val="8"/>
      <x:color rgb="FFC55A11"/>
      <x:name val="Yu Gothic"/>
    </x:font>
    <x:font>
      <x:sz val="8"/>
      <x:color rgb="FF666666"/>
      <x:name val="Yu Gothic"/>
    </x:font>
    <x:font>
      <x:sz val="8"/>
      <x:color rgb="FFC00000"/>
      <x:name val="Yu Gothic"/>
    </x:font>
    <x:font>
      <x:b/>
      <x:sz val="9"/>
      <x:color rgb="FFC55A11"/>
      <x:name val="Yu Gothic"/>
    </x:font>
    <x:font>
      <x:sz val="7"/>
      <x:color rgb="FF1F1F1F"/>
      <x:name val="Yu Gothic"/>
    </x:font>
    <x:font>
      <x:b/>
      <x:sz val="8"/>
      <x:color rgb="FFBF9000"/>
      <x:name val="Yu Gothic"/>
    </x:font>
    <x:font>
      <x:b/>
      <x:sz val="15"/>
      <x:color rgb="FF1F4E78"/>
      <x:name val="Yu Gothic"/>
    </x:font>
    <x:font>
      <x:b/>
      <x:sz val="15"/>
      <x:color rgb="FF548235"/>
      <x:name val="Yu Gothic"/>
    </x:font>
    <x:font>
      <x:b/>
      <x:sz val="15"/>
      <x:color rgb="FFC55A11"/>
      <x:name val="Yu Gothic"/>
    </x:font>
    <x:font>
      <x:b/>
      <x:sz val="9"/>
      <x:color rgb="FFC00000"/>
      <x:name val="Yu Gothic"/>
    </x:font>
    <x:font>
      <x:b/>
      <x:sz val="7"/>
      <x:color rgb="FF1F1F1F"/>
      <x:name val="Yu Gothic"/>
    </x:font>
    <x:font>
      <x:b/>
      <x:sz val="8"/>
      <x:color rgb="FFC00000"/>
      <x:name val="Yu Gothic"/>
    </x:font>
    <x:font>
      <x:sz val="7"/>
      <x:color rgb="FFC00000"/>
      <x:name val="Yu Gothic"/>
    </x:font>
    <x:font>
      <x:sz val="7"/>
      <x:color rgb="FF548235"/>
      <x:name val="Yu Gothic"/>
    </x:font>
    <x:font>
      <x:b/>
      <x:sz val="8"/>
      <x:color rgb="FF548235"/>
      <x:name val="Yu Gothic"/>
    </x:font>
    <x:font>
      <x:sz val="7"/>
      <x:color rgb="FFC55A11"/>
      <x:name val="Yu Gothic"/>
    </x:font>
    <x:font>
      <x:b/>
      <x:sz val="8"/>
      <x:color rgb="FFC55A11"/>
      <x:name val="Yu Gothic"/>
    </x:font>
    <x:font>
      <x:b/>
      <x:sz val="10"/>
      <x:color rgb="FFFFFFFF"/>
      <x:name val="Yu Gothic"/>
    </x:font>
    <x:font>
      <x:b/>
      <x:sz val="10"/>
      <x:color rgb="FF1F1F1F"/>
      <x:name val="Yu Gothic"/>
    </x:font>
    <x:font>
      <x:b/>
      <x:sz val="12"/>
      <x:color rgb="FFFFFFFF"/>
      <x:name val="Yu Gothic"/>
    </x:font>
    <x:font>
      <x:b/>
      <x:sz val="9"/>
      <x:color rgb="FF2F75B5"/>
      <x:name val="Yu Gothic"/>
    </x:font>
    <x:font>
      <x:sz val="8"/>
      <x:color rgb="FF1F1F1F"/>
      <x:name val="Menlo"/>
    </x:font>
    <x:font>
      <x:b/>
      <x:sz val="8"/>
      <x:color rgb="FF2F75B5"/>
      <x:name val="Yu Gothic"/>
    </x:font>
    <x:font>
      <x:b/>
      <x:sz val="9"/>
      <x:color rgb="FF1F4E78"/>
      <x:name val="Yu Gothic"/>
    </x:font>
    <x:font>
      <x:b/>
      <x:sz val="9"/>
      <x:color rgb="FF548235"/>
      <x:name val="Yu Gothic"/>
    </x:font>
    <x:font>
      <x:b/>
      <x:sz val="15"/>
      <x:color rgb="FFC00000"/>
      <x:name val="Yu Gothic"/>
    </x:font>
    <x:font>
      <x:sz val="9"/>
      <x:color rgb="FF333333"/>
      <x:name val="Yu Gothic"/>
    </x:font>
    <x:font>
      <x:sz val="9"/>
      <x:color rgb="FF555555"/>
      <x:name val="Yu Gothic"/>
    </x:font>
    <x:font>
      <x:b/>
      <x:sz val="9"/>
      <x:color rgb="FFFFFFFF"/>
      <x:name val="Yu Gothic"/>
    </x:font>
  </x:fonts>
  <x:fills count="1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548235"/>
      </x:patternFill>
    </x:fill>
    <x:fill>
      <x:patternFill patternType="solid">
        <x:fgColor rgb="FFC55A11"/>
      </x:patternFill>
    </x:fill>
    <x:fill>
      <x:patternFill patternType="solid">
        <x:fgColor rgb="FF7030A0"/>
      </x:patternFill>
    </x:fill>
    <x:fill>
      <x:patternFill patternType="solid">
        <x:fgColor rgb="FFFAFA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</x:fills>
  <x:borders count="159">
    <x:border/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medium">
        <x:color rgb="FF1F4E78"/>
      </x:left>
      <x:right style="thin">
        <x:color rgb="FFE7E6E6"/>
      </x:right>
      <x:top style="medium">
        <x:color rgb="FF1F4E78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medium">
        <x:color rgb="FF1F4E78"/>
      </x:top>
      <x:bottom style="thin">
        <x:color rgb="FFE7E6E6"/>
      </x:bottom>
    </x:border>
    <x:border>
      <x:left style="thin">
        <x:color rgb="FFE7E6E6"/>
      </x:left>
      <x:right style="medium">
        <x:color rgb="FF1F4E78"/>
      </x:right>
      <x:top style="medium">
        <x:color rgb="FF1F4E78"/>
      </x:top>
      <x:bottom style="thin">
        <x:color rgb="FFE7E6E6"/>
      </x:bottom>
    </x:border>
    <x:border>
      <x:left style="medium">
        <x:color rgb="FF1F4E78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medium">
        <x:color rgb="FF1F4E78"/>
      </x:right>
      <x:top style="thin">
        <x:color rgb="FFE7E6E6"/>
      </x:top>
      <x:bottom style="thin">
        <x:color rgb="FFE7E6E6"/>
      </x:bottom>
    </x:border>
    <x:border>
      <x:left style="medium">
        <x:color rgb="FF1F4E78"/>
      </x:left>
      <x:right style="thin">
        <x:color rgb="FFE7E6E6"/>
      </x:right>
      <x:top style="thin">
        <x:color rgb="FFE7E6E6"/>
      </x:top>
      <x:bottom style="medium">
        <x:color rgb="FF1F4E78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medium">
        <x:color rgb="FF1F4E78"/>
      </x:bottom>
    </x:border>
    <x:border>
      <x:left style="thin">
        <x:color rgb="FFE7E6E6"/>
      </x:left>
      <x:right style="medium">
        <x:color rgb="FF1F4E78"/>
      </x:right>
      <x:top style="thin">
        <x:color rgb="FFE7E6E6"/>
      </x:top>
      <x:bottom style="medium">
        <x:color rgb="FF1F4E78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medium">
        <x:color rgb="FF2F75B5"/>
      </x:left>
      <x:right style="thin">
        <x:color rgb="FFE7E6E6"/>
      </x:right>
      <x:top style="medium">
        <x:color rgb="FF2F75B5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medium">
        <x:color rgb="FF2F75B5"/>
      </x:top>
      <x:bottom style="thin">
        <x:color rgb="FFE7E6E6"/>
      </x:bottom>
    </x:border>
    <x:border>
      <x:left style="thin">
        <x:color rgb="FFE7E6E6"/>
      </x:left>
      <x:right style="medium">
        <x:color rgb="FF2F75B5"/>
      </x:right>
      <x:top style="medium">
        <x:color rgb="FF2F75B5"/>
      </x:top>
      <x:bottom style="thin">
        <x:color rgb="FFE7E6E6"/>
      </x:bottom>
    </x:border>
    <x:border>
      <x:left style="medium">
        <x:color rgb="FF2F75B5"/>
      </x:left>
      <x:right style="thin">
        <x:color rgb="FFE7E6E6"/>
      </x:right>
      <x:top style="thin">
        <x:color rgb="FFE7E6E6"/>
      </x:top>
      <x:bottom style="medium">
        <x:color rgb="FF2F75B5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medium">
        <x:color rgb="FF2F75B5"/>
      </x:bottom>
    </x:border>
    <x:border>
      <x:left style="thin">
        <x:color rgb="FFE7E6E6"/>
      </x:left>
      <x:right style="medium">
        <x:color rgb="FF2F75B5"/>
      </x:right>
      <x:top style="thin">
        <x:color rgb="FFE7E6E6"/>
      </x:top>
      <x:bottom style="medium">
        <x:color rgb="FF2F75B5"/>
      </x:bottom>
    </x:border>
    <x:border>
      <x:left style="thin">
        <x:color rgb="FF7F8C8D"/>
      </x:left>
      <x:right style="thin">
        <x:color rgb="FFE7E6E6"/>
      </x:right>
      <x:top style="thin">
        <x:color rgb="FF7F8C8D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7F8C8D"/>
      </x:top>
      <x:bottom style="thin">
        <x:color rgb="FFE7E6E6"/>
      </x:bottom>
    </x:border>
    <x:border>
      <x:left style="thin">
        <x:color rgb="FFE7E6E6"/>
      </x:left>
      <x:right style="thin">
        <x:color rgb="FF7F8C8D"/>
      </x:right>
      <x:top style="thin">
        <x:color rgb="FF7F8C8D"/>
      </x:top>
      <x:bottom style="thin">
        <x:color rgb="FFE7E6E6"/>
      </x:bottom>
    </x:border>
    <x:border>
      <x:left style="thin">
        <x:color rgb="FF7F8C8D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7F8C8D"/>
      </x:right>
      <x:top style="thin">
        <x:color rgb="FFE7E6E6"/>
      </x:top>
      <x:bottom style="thin">
        <x:color rgb="FFE7E6E6"/>
      </x:bottom>
    </x:border>
    <x:border>
      <x:left style="thin">
        <x:color rgb="FF7F8C8D"/>
      </x:left>
      <x:right style="thin">
        <x:color rgb="FFE7E6E6"/>
      </x:right>
      <x:top style="thin">
        <x:color rgb="FFE7E6E6"/>
      </x:top>
      <x:bottom style="thin">
        <x:color rgb="FF7F8C8D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7F8C8D"/>
      </x:bottom>
    </x:border>
    <x:border>
      <x:left style="thin">
        <x:color rgb="FFE7E6E6"/>
      </x:left>
      <x:right style="thin">
        <x:color rgb="FF7F8C8D"/>
      </x:right>
      <x:top style="thin">
        <x:color rgb="FFE7E6E6"/>
      </x:top>
      <x:bottom style="thin">
        <x:color rgb="FF7F8C8D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medium">
        <x:color rgb="FFC55A11"/>
      </x:left>
      <x:right style="thin">
        <x:color rgb="FFE7E6E6"/>
      </x:right>
      <x:top style="medium">
        <x:color rgb="FFC55A11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medium">
        <x:color rgb="FFC55A11"/>
      </x:top>
      <x:bottom style="thin">
        <x:color rgb="FFE7E6E6"/>
      </x:bottom>
    </x:border>
    <x:border>
      <x:left style="thin">
        <x:color rgb="FFE7E6E6"/>
      </x:left>
      <x:right style="medium">
        <x:color rgb="FFC55A11"/>
      </x:right>
      <x:top style="medium">
        <x:color rgb="FFC55A11"/>
      </x:top>
      <x:bottom style="thin">
        <x:color rgb="FFE7E6E6"/>
      </x:bottom>
    </x:border>
    <x:border>
      <x:left style="medium">
        <x:color rgb="FFC55A11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medium">
        <x:color rgb="FFC55A11"/>
      </x:right>
      <x:top style="thin">
        <x:color rgb="FFE7E6E6"/>
      </x:top>
      <x:bottom style="thin">
        <x:color rgb="FFE7E6E6"/>
      </x:bottom>
    </x:border>
    <x:border>
      <x:left style="medium">
        <x:color rgb="FFC55A11"/>
      </x:left>
      <x:right style="thin">
        <x:color rgb="FFE7E6E6"/>
      </x:right>
      <x:top style="thin">
        <x:color rgb="FFE7E6E6"/>
      </x:top>
      <x:bottom style="medium">
        <x:color rgb="FFC55A11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medium">
        <x:color rgb="FFC55A11"/>
      </x:bottom>
    </x:border>
    <x:border>
      <x:left style="thin">
        <x:color rgb="FFE7E6E6"/>
      </x:left>
      <x:right style="medium">
        <x:color rgb="FFC55A11"/>
      </x:right>
      <x:top style="thin">
        <x:color rgb="FFE7E6E6"/>
      </x:top>
      <x:bottom style="medium">
        <x:color rgb="FFC55A11"/>
      </x:bottom>
    </x:border>
    <x:border>
      <x:left style="medium">
        <x:color rgb="FFBF9000"/>
      </x:left>
      <x:top style="medium">
        <x:color rgb="FFBF9000"/>
      </x:top>
    </x:border>
    <x:border>
      <x:top style="medium">
        <x:color rgb="FFBF9000"/>
      </x:top>
    </x:border>
    <x:border>
      <x:right style="medium">
        <x:color rgb="FFBF9000"/>
      </x:right>
      <x:top style="medium">
        <x:color rgb="FFBF9000"/>
      </x:top>
    </x:border>
    <x:border>
      <x:left style="medium">
        <x:color rgb="FFBF9000"/>
      </x:left>
    </x:border>
    <x:border>
      <x:right style="medium">
        <x:color rgb="FFBF9000"/>
      </x:right>
    </x:border>
    <x:border>
      <x:left style="medium">
        <x:color rgb="FFBF9000"/>
      </x:left>
      <x:bottom style="medium">
        <x:color rgb="FFBF9000"/>
      </x:bottom>
    </x:border>
    <x:border>
      <x:bottom style="medium">
        <x:color rgb="FFBF9000"/>
      </x:bottom>
    </x:border>
    <x:border>
      <x:right style="medium">
        <x:color rgb="FFBF9000"/>
      </x:right>
      <x:bottom style="medium">
        <x:color rgb="FFBF9000"/>
      </x:bottom>
    </x:border>
    <x:border>
      <x:left style="medium">
        <x:color rgb="FF2F75B5"/>
      </x:left>
      <x:top style="medium">
        <x:color rgb="FF2F75B5"/>
      </x:top>
    </x:border>
    <x:border>
      <x:top style="medium">
        <x:color rgb="FF2F75B5"/>
      </x:top>
    </x:border>
    <x:border>
      <x:right style="medium">
        <x:color rgb="FF2F75B5"/>
      </x:right>
      <x:top style="medium">
        <x:color rgb="FF2F75B5"/>
      </x:top>
    </x:border>
    <x:border>
      <x:left style="medium">
        <x:color rgb="FF2F75B5"/>
      </x:left>
      <x:bottom style="medium">
        <x:color rgb="FF2F75B5"/>
      </x:bottom>
    </x:border>
    <x:border>
      <x:bottom style="medium">
        <x:color rgb="FF2F75B5"/>
      </x:bottom>
    </x:border>
    <x:border>
      <x:right style="medium">
        <x:color rgb="FF2F75B5"/>
      </x:right>
      <x:bottom style="medium">
        <x:color rgb="FF2F75B5"/>
      </x:bottom>
    </x:border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</x:border>
    <x:border>
      <x:right style="medium">
        <x:color rgb="FF1F4E78"/>
      </x:right>
    </x:border>
    <x:border>
      <x:left style="medium">
        <x:color rgb="FF1F4E78"/>
      </x:left>
      <x:bottom style="medium">
        <x:color rgb="FF1F4E78"/>
      </x:bottom>
    </x:border>
    <x:border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left style="medium">
        <x:color rgb="FF548235"/>
      </x:left>
      <x:top style="medium">
        <x:color rgb="FF548235"/>
      </x:top>
    </x:border>
    <x:border>
      <x:top style="medium">
        <x:color rgb="FF548235"/>
      </x:top>
    </x:border>
    <x:border>
      <x:right style="medium">
        <x:color rgb="FF548235"/>
      </x:right>
      <x:top style="medium">
        <x:color rgb="FF548235"/>
      </x:top>
    </x:border>
    <x:border>
      <x:left style="medium">
        <x:color rgb="FF548235"/>
      </x:left>
    </x:border>
    <x:border>
      <x:right style="medium">
        <x:color rgb="FF548235"/>
      </x:right>
    </x:border>
    <x:border>
      <x:left style="medium">
        <x:color rgb="FF548235"/>
      </x:left>
      <x:bottom style="medium">
        <x:color rgb="FF548235"/>
      </x:bottom>
    </x:border>
    <x:border>
      <x:bottom style="medium">
        <x:color rgb="FF548235"/>
      </x:bottom>
    </x:border>
    <x:border>
      <x:right style="medium">
        <x:color rgb="FF548235"/>
      </x:right>
      <x:bottom style="medium">
        <x:color rgb="FF548235"/>
      </x:bottom>
    </x:border>
    <x:border>
      <x:left style="medium">
        <x:color rgb="FFC55A11"/>
      </x:left>
      <x:top style="medium">
        <x:color rgb="FFC55A11"/>
      </x:top>
    </x:border>
    <x:border>
      <x:top style="medium">
        <x:color rgb="FFC55A11"/>
      </x:top>
    </x:border>
    <x:border>
      <x:right style="medium">
        <x:color rgb="FFC55A11"/>
      </x:right>
      <x:top style="medium">
        <x:color rgb="FFC55A11"/>
      </x:top>
    </x:border>
    <x:border>
      <x:left style="medium">
        <x:color rgb="FFC55A11"/>
      </x:left>
    </x:border>
    <x:border>
      <x:right style="medium">
        <x:color rgb="FFC55A11"/>
      </x:right>
    </x:border>
    <x:border>
      <x:left style="medium">
        <x:color rgb="FFC55A11"/>
      </x:left>
      <x:bottom style="medium">
        <x:color rgb="FFC55A11"/>
      </x:bottom>
    </x:border>
    <x:border>
      <x:bottom style="medium">
        <x:color rgb="FFC55A11"/>
      </x:bottom>
    </x:border>
    <x:border>
      <x:right style="medium">
        <x:color rgb="FFC55A11"/>
      </x:right>
      <x:bottom style="medium">
        <x:color rgb="FFC55A11"/>
      </x:bottom>
    </x:border>
    <x:border>
      <x:left style="medium">
        <x:color rgb="FFC00000"/>
      </x:left>
      <x:right style="thin">
        <x:color rgb="FFE7E6E6"/>
      </x:right>
      <x:top style="medium">
        <x:color rgb="FFC00000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medium">
        <x:color rgb="FFC00000"/>
      </x:top>
      <x:bottom style="thin">
        <x:color rgb="FFE7E6E6"/>
      </x:bottom>
    </x:border>
    <x:border>
      <x:left style="thin">
        <x:color rgb="FFE7E6E6"/>
      </x:left>
      <x:right style="medium">
        <x:color rgb="FFC00000"/>
      </x:right>
      <x:top style="medium">
        <x:color rgb="FFC00000"/>
      </x:top>
      <x:bottom style="thin">
        <x:color rgb="FFE7E6E6"/>
      </x:bottom>
    </x:border>
    <x:border>
      <x:left style="medium">
        <x:color rgb="FFC00000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medium">
        <x:color rgb="FFC00000"/>
      </x:right>
      <x:top style="thin">
        <x:color rgb="FFE7E6E6"/>
      </x:top>
      <x:bottom style="thin">
        <x:color rgb="FFE7E6E6"/>
      </x:bottom>
    </x:border>
    <x:border>
      <x:left style="medium">
        <x:color rgb="FFC00000"/>
      </x:left>
      <x:right style="thin">
        <x:color rgb="FFE7E6E6"/>
      </x:right>
      <x:top style="thin">
        <x:color rgb="FFE7E6E6"/>
      </x:top>
      <x:bottom style="medium">
        <x:color rgb="FFC00000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medium">
        <x:color rgb="FFC00000"/>
      </x:bottom>
    </x:border>
    <x:border>
      <x:left style="thin">
        <x:color rgb="FFE7E6E6"/>
      </x:left>
      <x:right style="medium">
        <x:color rgb="FFC00000"/>
      </x:right>
      <x:top style="thin">
        <x:color rgb="FFE7E6E6"/>
      </x:top>
      <x:bottom style="medium">
        <x:color rgb="FFC00000"/>
      </x:bottom>
    </x:border>
    <x:border>
      <x:left style="thin">
        <x:color rgb="FF666666"/>
      </x:left>
      <x:right style="thin">
        <x:color rgb="FFE7E6E6"/>
      </x:right>
      <x:top style="thin">
        <x:color rgb="FF66666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666666"/>
      </x:top>
      <x:bottom style="thin">
        <x:color rgb="FFE7E6E6"/>
      </x:bottom>
    </x:border>
    <x:border>
      <x:left style="thin">
        <x:color rgb="FFE7E6E6"/>
      </x:left>
      <x:right style="thin">
        <x:color rgb="FF666666"/>
      </x:right>
      <x:top style="thin">
        <x:color rgb="FF666666"/>
      </x:top>
      <x:bottom style="thin">
        <x:color rgb="FFE7E6E6"/>
      </x:bottom>
    </x:border>
    <x:border>
      <x:left style="thin">
        <x:color rgb="FF666666"/>
      </x:left>
      <x:right style="thin">
        <x:color rgb="FFE7E6E6"/>
      </x:right>
      <x:top style="thin">
        <x:color rgb="FFE7E6E6"/>
      </x:top>
      <x:bottom style="thin">
        <x:color rgb="FF66666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666666"/>
      </x:bottom>
    </x:border>
    <x:border>
      <x:left style="thin">
        <x:color rgb="FFE7E6E6"/>
      </x:left>
      <x:right style="thin">
        <x:color rgb="FF666666"/>
      </x:right>
      <x:top style="thin">
        <x:color rgb="FFE7E6E6"/>
      </x:top>
      <x:bottom style="thin">
        <x:color rgb="FF666666"/>
      </x:bottom>
    </x:border>
    <x:border>
      <x:left style="thin">
        <x:color rgb="FF548235"/>
      </x:left>
      <x:right style="thin">
        <x:color rgb="FFE7E6E6"/>
      </x:right>
      <x:top style="thin">
        <x:color rgb="FF548235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548235"/>
      </x:top>
      <x:bottom style="thin">
        <x:color rgb="FFE7E6E6"/>
      </x:bottom>
    </x:border>
    <x:border>
      <x:left style="thin">
        <x:color rgb="FFE7E6E6"/>
      </x:left>
      <x:right style="thin">
        <x:color rgb="FF548235"/>
      </x:right>
      <x:top style="thin">
        <x:color rgb="FF548235"/>
      </x:top>
      <x:bottom style="thin">
        <x:color rgb="FFE7E6E6"/>
      </x:bottom>
    </x:border>
    <x:border>
      <x:left style="thin">
        <x:color rgb="FF548235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548235"/>
      </x:right>
      <x:top style="thin">
        <x:color rgb="FFE7E6E6"/>
      </x:top>
      <x:bottom style="thin">
        <x:color rgb="FFE7E6E6"/>
      </x:bottom>
    </x:border>
    <x:border>
      <x:left style="thin">
        <x:color rgb="FF548235"/>
      </x:left>
      <x:right style="thin">
        <x:color rgb="FFE7E6E6"/>
      </x:right>
      <x:top style="thin">
        <x:color rgb="FFE7E6E6"/>
      </x:top>
      <x:bottom style="thin">
        <x:color rgb="FF548235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548235"/>
      </x:bottom>
    </x:border>
    <x:border>
      <x:left style="thin">
        <x:color rgb="FFE7E6E6"/>
      </x:left>
      <x:right style="thin">
        <x:color rgb="FF548235"/>
      </x:right>
      <x:top style="thin">
        <x:color rgb="FFE7E6E6"/>
      </x:top>
      <x:bottom style="thin">
        <x:color rgb="FF548235"/>
      </x:bottom>
    </x:border>
    <x:border>
      <x:left style="thin">
        <x:color rgb="FFC55A11"/>
      </x:left>
      <x:right style="thin">
        <x:color rgb="FFE7E6E6"/>
      </x:right>
      <x:top style="thin">
        <x:color rgb="FFC55A11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C55A11"/>
      </x:top>
      <x:bottom style="thin">
        <x:color rgb="FFE7E6E6"/>
      </x:bottom>
    </x:border>
    <x:border>
      <x:left style="thin">
        <x:color rgb="FFE7E6E6"/>
      </x:left>
      <x:right style="thin">
        <x:color rgb="FFC55A11"/>
      </x:right>
      <x:top style="thin">
        <x:color rgb="FFC55A11"/>
      </x:top>
      <x:bottom style="thin">
        <x:color rgb="FFE7E6E6"/>
      </x:bottom>
    </x:border>
    <x:border>
      <x:left style="thin">
        <x:color rgb="FFC55A11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C55A11"/>
      </x:right>
      <x:top style="thin">
        <x:color rgb="FFE7E6E6"/>
      </x:top>
      <x:bottom style="thin">
        <x:color rgb="FFE7E6E6"/>
      </x:bottom>
    </x:border>
    <x:border>
      <x:left style="thin">
        <x:color rgb="FFC55A11"/>
      </x:left>
      <x:right style="thin">
        <x:color rgb="FFE7E6E6"/>
      </x:right>
      <x:top style="thin">
        <x:color rgb="FFE7E6E6"/>
      </x:top>
      <x:bottom style="thin">
        <x:color rgb="FFC55A11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C55A11"/>
      </x:bottom>
    </x:border>
    <x:border>
      <x:left style="thin">
        <x:color rgb="FFE7E6E6"/>
      </x:left>
      <x:right style="thin">
        <x:color rgb="FFC55A11"/>
      </x:right>
      <x:top style="thin">
        <x:color rgb="FFE7E6E6"/>
      </x:top>
      <x:bottom style="thin">
        <x:color rgb="FFC55A11"/>
      </x:bottom>
    </x:border>
    <x:border>
      <x:left style="medium">
        <x:color rgb="FF548235"/>
      </x:left>
      <x:right style="thin">
        <x:color rgb="FFE7E6E6"/>
      </x:right>
      <x:top style="medium">
        <x:color rgb="FF548235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medium">
        <x:color rgb="FF548235"/>
      </x:top>
      <x:bottom style="thin">
        <x:color rgb="FFE7E6E6"/>
      </x:bottom>
    </x:border>
    <x:border>
      <x:left style="thin">
        <x:color rgb="FFE7E6E6"/>
      </x:left>
      <x:right style="medium">
        <x:color rgb="FF548235"/>
      </x:right>
      <x:top style="medium">
        <x:color rgb="FF548235"/>
      </x:top>
      <x:bottom style="thin">
        <x:color rgb="FFE7E6E6"/>
      </x:bottom>
    </x:border>
    <x:border>
      <x:left style="medium">
        <x:color rgb="FF548235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medium">
        <x:color rgb="FF548235"/>
      </x:right>
      <x:top style="thin">
        <x:color rgb="FFE7E6E6"/>
      </x:top>
      <x:bottom style="thin">
        <x:color rgb="FFE7E6E6"/>
      </x:bottom>
    </x:border>
    <x:border>
      <x:left style="medium">
        <x:color rgb="FF548235"/>
      </x:left>
      <x:right style="thin">
        <x:color rgb="FFE7E6E6"/>
      </x:right>
      <x:top style="thin">
        <x:color rgb="FFE7E6E6"/>
      </x:top>
      <x:bottom style="medium">
        <x:color rgb="FF548235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medium">
        <x:color rgb="FF548235"/>
      </x:bottom>
    </x:border>
    <x:border>
      <x:left style="thin">
        <x:color rgb="FFE7E6E6"/>
      </x:left>
      <x:right style="medium">
        <x:color rgb="FF548235"/>
      </x:right>
      <x:top style="thin">
        <x:color rgb="FFE7E6E6"/>
      </x:top>
      <x:bottom style="medium">
        <x:color rgb="FF548235"/>
      </x:bottom>
    </x:border>
    <x:border>
      <x:left style="medium">
        <x:color rgb="FF2F75B5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medium">
        <x:color rgb="FF2F75B5"/>
      </x:right>
      <x:top style="thin">
        <x:color rgb="FFE7E6E6"/>
      </x:top>
      <x:bottom style="thin">
        <x:color rgb="FFE7E6E6"/>
      </x:bottom>
    </x:border>
    <x:border>
      <x:left style="medium">
        <x:color rgb="FF7030A0"/>
      </x:left>
      <x:right style="thin">
        <x:color rgb="FFE7E6E6"/>
      </x:right>
      <x:top style="medium">
        <x:color rgb="FF7030A0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medium">
        <x:color rgb="FF7030A0"/>
      </x:top>
      <x:bottom style="thin">
        <x:color rgb="FFE7E6E6"/>
      </x:bottom>
    </x:border>
    <x:border>
      <x:left style="thin">
        <x:color rgb="FFE7E6E6"/>
      </x:left>
      <x:right style="medium">
        <x:color rgb="FF7030A0"/>
      </x:right>
      <x:top style="medium">
        <x:color rgb="FF7030A0"/>
      </x:top>
      <x:bottom style="thin">
        <x:color rgb="FFE7E6E6"/>
      </x:bottom>
    </x:border>
    <x:border>
      <x:left style="medium">
        <x:color rgb="FF7030A0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medium">
        <x:color rgb="FF7030A0"/>
      </x:right>
      <x:top style="thin">
        <x:color rgb="FFE7E6E6"/>
      </x:top>
      <x:bottom style="thin">
        <x:color rgb="FFE7E6E6"/>
      </x:bottom>
    </x:border>
    <x:border>
      <x:left style="medium">
        <x:color rgb="FF7030A0"/>
      </x:left>
      <x:right style="thin">
        <x:color rgb="FFE7E6E6"/>
      </x:right>
      <x:top style="thin">
        <x:color rgb="FFE7E6E6"/>
      </x:top>
      <x:bottom style="medium">
        <x:color rgb="FF7030A0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medium">
        <x:color rgb="FF7030A0"/>
      </x:bottom>
    </x:border>
    <x:border>
      <x:left style="thin">
        <x:color rgb="FFE7E6E6"/>
      </x:left>
      <x:right style="medium">
        <x:color rgb="FF7030A0"/>
      </x:right>
      <x:top style="thin">
        <x:color rgb="FFE7E6E6"/>
      </x:top>
      <x:bottom style="medium">
        <x:color rgb="FF7030A0"/>
      </x:bottom>
    </x:border>
    <x:border>
      <x:left style="thin">
        <x:color rgb="FFE7E6E6"/>
      </x:left>
      <x:right style="medium">
        <x:color rgb="FF548235"/>
      </x:right>
      <x:top style="medium">
        <x:color rgb="FFC55A11"/>
      </x:top>
      <x:bottom style="thin">
        <x:color rgb="FFE7E6E6"/>
      </x:bottom>
    </x:border>
    <x:border>
      <x:left style="medium">
        <x:color rgb="FF2F75B5"/>
      </x:left>
      <x:right style="thin">
        <x:color rgb="FFE7E6E6"/>
      </x:right>
      <x:top style="medium">
        <x:color rgb="FFC55A11"/>
      </x:top>
      <x:bottom style="thin">
        <x:color rgb="FFE7E6E6"/>
      </x:bottom>
    </x:border>
    <x:border>
      <x:left style="thin">
        <x:color rgb="FFE7E6E6"/>
      </x:left>
      <x:right style="medium">
        <x:color rgb="FF2F75B5"/>
      </x:right>
      <x:top style="medium">
        <x:color rgb="FFC55A11"/>
      </x:top>
      <x:bottom style="thin">
        <x:color rgb="FFE7E6E6"/>
      </x:bottom>
    </x:border>
    <x:border>
      <x:left style="medium">
        <x:color rgb="FF7030A0"/>
      </x:left>
      <x:right style="thin">
        <x:color rgb="FFE7E6E6"/>
      </x:right>
      <x:top style="medium">
        <x:color rgb="FFC55A11"/>
      </x:top>
      <x:bottom style="thin">
        <x:color rgb="FFE7E6E6"/>
      </x:bottom>
    </x:border>
    <x:border>
      <x:left style="thin">
        <x:color rgb="FFE7E6E6"/>
      </x:left>
      <x:right style="medium">
        <x:color rgb="FF548235"/>
      </x:right>
      <x:top style="thin">
        <x:color rgb="FFE7E6E6"/>
      </x:top>
      <x:bottom style="medium">
        <x:color rgb="FFC55A11"/>
      </x:bottom>
    </x:border>
    <x:border>
      <x:left style="medium">
        <x:color rgb="FF2F75B5"/>
      </x:left>
      <x:right style="thin">
        <x:color rgb="FFE7E6E6"/>
      </x:right>
      <x:top style="thin">
        <x:color rgb="FFE7E6E6"/>
      </x:top>
      <x:bottom style="medium">
        <x:color rgb="FFC55A11"/>
      </x:bottom>
    </x:border>
    <x:border>
      <x:left style="thin">
        <x:color rgb="FFE7E6E6"/>
      </x:left>
      <x:right style="medium">
        <x:color rgb="FF2F75B5"/>
      </x:right>
      <x:top style="thin">
        <x:color rgb="FFE7E6E6"/>
      </x:top>
      <x:bottom style="medium">
        <x:color rgb="FFC55A11"/>
      </x:bottom>
    </x:border>
    <x:border>
      <x:left style="medium">
        <x:color rgb="FF7030A0"/>
      </x:left>
      <x:right style="thin">
        <x:color rgb="FFE7E6E6"/>
      </x:right>
      <x:top style="thin">
        <x:color rgb="FFE7E6E6"/>
      </x:top>
      <x:bottom style="medium">
        <x:color rgb="FFC55A11"/>
      </x:bottom>
    </x:border>
    <x:border>
      <x:left style="medium">
        <x:color rgb="FF666666"/>
      </x:left>
      <x:right style="thin">
        <x:color rgb="FFE7E6E6"/>
      </x:right>
      <x:top style="medium">
        <x:color rgb="FF66666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medium">
        <x:color rgb="FF666666"/>
      </x:top>
      <x:bottom style="thin">
        <x:color rgb="FFE7E6E6"/>
      </x:bottom>
    </x:border>
    <x:border>
      <x:left style="thin">
        <x:color rgb="FFE7E6E6"/>
      </x:left>
      <x:right style="medium">
        <x:color rgb="FF666666"/>
      </x:right>
      <x:top style="medium">
        <x:color rgb="FF666666"/>
      </x:top>
      <x:bottom style="thin">
        <x:color rgb="FFE7E6E6"/>
      </x:bottom>
    </x:border>
    <x:border>
      <x:left style="medium">
        <x:color rgb="FF66666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medium">
        <x:color rgb="FF666666"/>
      </x:right>
      <x:top style="thin">
        <x:color rgb="FFE7E6E6"/>
      </x:top>
      <x:bottom style="thin">
        <x:color rgb="FFE7E6E6"/>
      </x:bottom>
    </x:border>
    <x:border>
      <x:left style="medium">
        <x:color rgb="FF666666"/>
      </x:left>
      <x:right style="thin">
        <x:color rgb="FFE7E6E6"/>
      </x:right>
      <x:top style="thin">
        <x:color rgb="FFE7E6E6"/>
      </x:top>
      <x:bottom style="medium">
        <x:color rgb="FF66666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medium">
        <x:color rgb="FF666666"/>
      </x:bottom>
    </x:border>
    <x:border>
      <x:left style="thin">
        <x:color rgb="FFE7E6E6"/>
      </x:left>
      <x:right style="medium">
        <x:color rgb="FF666666"/>
      </x:right>
      <x:top style="thin">
        <x:color rgb="FFE7E6E6"/>
      </x:top>
      <x:bottom style="medium">
        <x:color rgb="FF666666"/>
      </x:bottom>
    </x:border>
    <x:border>
      <x:left style="medium">
        <x:color rgb="FFBF9000"/>
      </x:left>
      <x:right style="thin">
        <x:color rgb="FFE7E6E6"/>
      </x:right>
      <x:top style="medium">
        <x:color rgb="FFBF9000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medium">
        <x:color rgb="FFBF9000"/>
      </x:top>
      <x:bottom style="thin">
        <x:color rgb="FFE7E6E6"/>
      </x:bottom>
    </x:border>
    <x:border>
      <x:left style="thin">
        <x:color rgb="FFE7E6E6"/>
      </x:left>
      <x:right style="medium">
        <x:color rgb="FFBF9000"/>
      </x:right>
      <x:top style="medium">
        <x:color rgb="FFBF9000"/>
      </x:top>
      <x:bottom style="thin">
        <x:color rgb="FFE7E6E6"/>
      </x:bottom>
    </x:border>
    <x:border>
      <x:left style="medium">
        <x:color rgb="FFBF9000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medium">
        <x:color rgb="FFBF9000"/>
      </x:right>
      <x:top style="thin">
        <x:color rgb="FFE7E6E6"/>
      </x:top>
      <x:bottom style="thin">
        <x:color rgb="FFE7E6E6"/>
      </x:bottom>
    </x:border>
    <x:border>
      <x:left style="medium">
        <x:color rgb="FFBF9000"/>
      </x:left>
      <x:right style="thin">
        <x:color rgb="FFE7E6E6"/>
      </x:right>
      <x:top style="thin">
        <x:color rgb="FFE7E6E6"/>
      </x:top>
      <x:bottom style="medium">
        <x:color rgb="FFBF9000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medium">
        <x:color rgb="FFBF9000"/>
      </x:bottom>
    </x:border>
    <x:border>
      <x:left style="thin">
        <x:color rgb="FFE7E6E6"/>
      </x:left>
      <x:right style="medium">
        <x:color rgb="FFBF9000"/>
      </x:right>
      <x:top style="thin">
        <x:color rgb="FFE7E6E6"/>
      </x:top>
      <x:bottom style="medium">
        <x:color rgb="FFBF9000"/>
      </x:bottom>
    </x:border>
    <x:border>
      <x:left style="thin">
        <x:color rgb="FFE7E6E6"/>
      </x:left>
      <x:top style="thin">
        <x:color rgb="FFE7E6E6"/>
      </x:top>
    </x:border>
    <x:border>
      <x:top style="thin">
        <x:color rgb="FFE7E6E6"/>
      </x:top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bottom style="thin">
        <x:color rgb="FFE7E6E6"/>
      </x:bottom>
    </x:border>
    <x:border>
      <x:bottom style="thin">
        <x:color rgb="FFE7E6E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2F75B5"/>
      </x:left>
      <x:top style="thin">
        <x:color rgb="FF2F75B5"/>
      </x:top>
    </x:border>
    <x:border>
      <x:top style="thin">
        <x:color rgb="FF2F75B5"/>
      </x:top>
    </x:border>
    <x:border>
      <x:right style="thin">
        <x:color rgb="FF2F75B5"/>
      </x:right>
      <x:top style="thin">
        <x:color rgb="FF2F75B5"/>
      </x:top>
    </x:border>
    <x:border>
      <x:left style="thin">
        <x:color rgb="FF2F75B5"/>
      </x:left>
      <x:bottom style="thin">
        <x:color rgb="FF2F75B5"/>
      </x:bottom>
    </x:border>
    <x:border>
      <x:bottom style="thin">
        <x:color rgb="FF2F75B5"/>
      </x:bottom>
    </x:border>
    <x:border>
      <x:right style="thin">
        <x:color rgb="FF2F75B5"/>
      </x:right>
      <x:bottom style="thin">
        <x:color rgb="FF2F75B5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EAF7"/>
      </x:left>
      <x:right style="thin">
        <x:color rgb="FFD9EAF7"/>
      </x:right>
      <x:top style="thin">
        <x:color rgb="FFD9EAF7"/>
      </x:top>
      <x:bottom style="thin">
        <x:color rgb="FFD9EAF7"/>
      </x:bottom>
    </x:border>
  </x:borders>
  <x:cellStyleXfs count="1">
    <x:xf numFmtId="0" fontId="0" fillId="0" borderId="0"/>
  </x:cellStyleXfs>
  <x:cellXfs count="136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3" fillId="3" borderId="7" xfId="0" applyNumberFormat="1" applyFont="1" applyFill="1" applyBorder="1" applyAlignment="1">
      <x:alignment horizontal="center" wrapText="1"/>
    </x:xf>
    <x:xf numFmtId="0" fontId="3" fillId="3" borderId="8" xfId="0" applyNumberFormat="1" applyFont="1" applyFill="1" applyBorder="1" applyAlignment="1">
      <x:alignment horizontal="center" wrapText="1"/>
    </x:xf>
    <x:xf numFmtId="0" fontId="3" fillId="3" borderId="9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3" fillId="3" borderId="9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0" xfId="0" applyNumberFormat="1" applyFont="1" applyFill="1" applyBorder="1"/>
    <x:xf numFmtId="0" fontId="4" fillId="4" borderId="10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horizontal="left" wrapText="1"/>
    </x:xf>
    <x:xf numFmtId="0" fontId="4" fillId="4" borderId="10" xfId="0" applyNumberFormat="1" applyFont="1" applyFill="1" applyBorder="1" applyAlignment="1">
      <x:alignment horizontal="left" vertical="center" wrapText="1"/>
    </x:xf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0" xfId="0" applyNumberFormat="1" applyFont="1" applyFill="1" applyBorder="1"/>
    <x:xf numFmtId="0" fontId="5" fillId="5" borderId="10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horizontal="left" wrapText="1"/>
    </x:xf>
    <x:xf numFmtId="0" fontId="5" fillId="5" borderId="10" xfId="0" applyNumberFormat="1" applyFont="1" applyFill="1" applyBorder="1" applyAlignment="1">
      <x:alignment horizontal="left" vertical="center" wrapText="1"/>
    </x:xf>
    <x:xf numFmtId="0" fontId="1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horizontal="left" wrapText="1"/>
    </x:xf>
    <x:xf numFmtId="0" fontId="6" fillId="6" borderId="12" xfId="0" applyNumberFormat="1" applyFont="1" applyFill="1" applyBorder="1" applyAlignment="1">
      <x:alignment horizontal="left" wrapText="1"/>
    </x:xf>
    <x:xf numFmtId="0" fontId="6" fillId="6" borderId="13" xfId="0" applyNumberFormat="1" applyFont="1" applyFill="1" applyBorder="1" applyAlignment="1">
      <x:alignment horizontal="left" wrapText="1"/>
    </x:xf>
    <x:xf numFmtId="0" fontId="6" fillId="6" borderId="14" xfId="0" applyNumberFormat="1" applyFont="1" applyFill="1" applyBorder="1" applyAlignment="1">
      <x:alignment horizontal="left" wrapText="1"/>
    </x:xf>
    <x:xf numFmtId="0" fontId="6" fillId="6" borderId="15" xfId="0" applyNumberFormat="1" applyFont="1" applyFill="1" applyBorder="1" applyAlignment="1">
      <x:alignment horizontal="left" wrapText="1"/>
    </x:xf>
    <x:xf numFmtId="0" fontId="6" fillId="6" borderId="16" xfId="0" applyNumberFormat="1" applyFont="1" applyFill="1" applyBorder="1" applyAlignment="1">
      <x:alignment horizontal="left" wrapText="1"/>
    </x:xf>
    <x:xf numFmtId="0" fontId="6" fillId="6" borderId="11" xfId="0" applyNumberFormat="1" applyFont="1" applyFill="1" applyBorder="1" applyAlignment="1">
      <x:alignment horizontal="left" vertical="center" wrapText="1"/>
    </x:xf>
    <x:xf numFmtId="0" fontId="6" fillId="6" borderId="12" xfId="0" applyNumberFormat="1" applyFont="1" applyFill="1" applyBorder="1" applyAlignment="1">
      <x:alignment horizontal="left" vertical="center" wrapText="1"/>
    </x:xf>
    <x:xf numFmtId="0" fontId="6" fillId="6" borderId="13" xfId="0" applyNumberFormat="1" applyFont="1" applyFill="1" applyBorder="1" applyAlignment="1">
      <x:alignment horizontal="left" vertical="center" wrapText="1"/>
    </x:xf>
    <x:xf numFmtId="0" fontId="6" fillId="6" borderId="14" xfId="0" applyNumberFormat="1" applyFont="1" applyFill="1" applyBorder="1" applyAlignment="1">
      <x:alignment horizontal="left" vertical="center" wrapText="1"/>
    </x:xf>
    <x:xf numFmtId="0" fontId="6" fillId="6" borderId="15" xfId="0" applyNumberFormat="1" applyFont="1" applyFill="1" applyBorder="1" applyAlignment="1">
      <x:alignment horizontal="left" vertical="center" wrapText="1"/>
    </x:xf>
    <x:xf numFmtId="0" fontId="6" fillId="6" borderId="16" xfId="0" applyNumberFormat="1" applyFont="1" applyFill="1" applyBorder="1" applyAlignment="1">
      <x:alignment horizontal="left" vertical="center" wrapText="1"/>
    </x:xf>
    <x:xf numFmtId="0" fontId="1" fillId="5" borderId="17" xfId="0" applyNumberFormat="1" applyFont="1" applyFill="1" applyBorder="1"/>
    <x:xf numFmtId="0" fontId="1" fillId="5" borderId="18" xfId="0" applyNumberFormat="1" applyFont="1" applyFill="1" applyBorder="1"/>
    <x:xf numFmtId="0" fontId="1" fillId="5" borderId="19" xfId="0" applyNumberFormat="1" applyFont="1" applyFill="1" applyBorder="1"/>
    <x:xf numFmtId="0" fontId="1" fillId="5" borderId="20" xfId="0" applyNumberFormat="1" applyFont="1" applyFill="1" applyBorder="1"/>
    <x:xf numFmtId="0" fontId="1" fillId="5" borderId="21" xfId="0" applyNumberFormat="1" applyFont="1" applyFill="1" applyBorder="1"/>
    <x:xf numFmtId="0" fontId="1" fillId="5" borderId="22" xfId="0" applyNumberFormat="1" applyFont="1" applyFill="1" applyBorder="1"/>
    <x:xf numFmtId="0" fontId="1" fillId="5" borderId="23" xfId="0" applyNumberFormat="1" applyFont="1" applyFill="1" applyBorder="1"/>
    <x:xf numFmtId="0" fontId="1" fillId="5" borderId="24" xfId="0" applyNumberFormat="1" applyFont="1" applyFill="1" applyBorder="1"/>
    <x:xf numFmtId="0" fontId="1" fillId="5" borderId="17" xfId="0" applyNumberFormat="1" applyFont="1" applyFill="1" applyBorder="1" applyAlignment="1">
      <x:alignment wrapText="1"/>
    </x:xf>
    <x:xf numFmtId="0" fontId="1" fillId="5" borderId="18" xfId="0" applyNumberFormat="1" applyFont="1" applyFill="1" applyBorder="1" applyAlignment="1">
      <x:alignment wrapText="1"/>
    </x:xf>
    <x:xf numFmtId="0" fontId="1" fillId="5" borderId="19" xfId="0" applyNumberFormat="1" applyFont="1" applyFill="1" applyBorder="1" applyAlignment="1">
      <x:alignment wrapText="1"/>
    </x:xf>
    <x:xf numFmtId="0" fontId="1" fillId="5" borderId="2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1" fillId="5" borderId="21" xfId="0" applyNumberFormat="1" applyFont="1" applyFill="1" applyBorder="1" applyAlignment="1">
      <x:alignment wrapText="1"/>
    </x:xf>
    <x:xf numFmtId="0" fontId="1" fillId="5" borderId="22" xfId="0" applyNumberFormat="1" applyFont="1" applyFill="1" applyBorder="1" applyAlignment="1">
      <x:alignment wrapText="1"/>
    </x:xf>
    <x:xf numFmtId="0" fontId="1" fillId="5" borderId="23" xfId="0" applyNumberFormat="1" applyFont="1" applyFill="1" applyBorder="1" applyAlignment="1">
      <x:alignment wrapText="1"/>
    </x:xf>
    <x:xf numFmtId="0" fontId="1" fillId="5" borderId="24" xfId="0" applyNumberFormat="1" applyFont="1" applyFill="1" applyBorder="1" applyAlignment="1">
      <x:alignment wrapText="1"/>
    </x:xf>
    <x:xf numFmtId="0" fontId="1" fillId="5" borderId="17" xfId="0" applyNumberFormat="1" applyFont="1" applyFill="1" applyBorder="1" applyAlignment="1">
      <x:alignment horizontal="left" wrapText="1"/>
    </x:xf>
    <x:xf numFmtId="0" fontId="1" fillId="5" borderId="18" xfId="0" applyNumberFormat="1" applyFont="1" applyFill="1" applyBorder="1" applyAlignment="1">
      <x:alignment horizontal="left" wrapText="1"/>
    </x:xf>
    <x:xf numFmtId="0" fontId="1" fillId="5" borderId="19" xfId="0" applyNumberFormat="1" applyFont="1" applyFill="1" applyBorder="1" applyAlignment="1">
      <x:alignment horizontal="left" wrapText="1"/>
    </x:xf>
    <x:xf numFmtId="0" fontId="1" fillId="5" borderId="20" xfId="0" applyNumberFormat="1" applyFont="1" applyFill="1" applyBorder="1" applyAlignment="1">
      <x:alignment horizontal="left" wrapText="1"/>
    </x:xf>
    <x:xf numFmtId="0" fontId="1" fillId="5" borderId="1" xfId="0" applyNumberFormat="1" applyFont="1" applyFill="1" applyBorder="1" applyAlignment="1">
      <x:alignment horizontal="left" wrapText="1"/>
    </x:xf>
    <x:xf numFmtId="0" fontId="1" fillId="5" borderId="21" xfId="0" applyNumberFormat="1" applyFont="1" applyFill="1" applyBorder="1" applyAlignment="1">
      <x:alignment horizontal="left" wrapText="1"/>
    </x:xf>
    <x:xf numFmtId="0" fontId="1" fillId="5" borderId="22" xfId="0" applyNumberFormat="1" applyFont="1" applyFill="1" applyBorder="1" applyAlignment="1">
      <x:alignment horizontal="left" wrapText="1"/>
    </x:xf>
    <x:xf numFmtId="0" fontId="1" fillId="5" borderId="23" xfId="0" applyNumberFormat="1" applyFont="1" applyFill="1" applyBorder="1" applyAlignment="1">
      <x:alignment horizontal="left" wrapText="1"/>
    </x:xf>
    <x:xf numFmtId="0" fontId="1" fillId="5" borderId="24" xfId="0" applyNumberFormat="1" applyFont="1" applyFill="1" applyBorder="1" applyAlignment="1">
      <x:alignment horizontal="left" wrapText="1"/>
    </x:xf>
    <x:xf numFmtId="0" fontId="1" fillId="5" borderId="17" xfId="0" applyNumberFormat="1" applyFont="1" applyFill="1" applyBorder="1" applyAlignment="1">
      <x:alignment horizontal="left" vertical="center" wrapText="1"/>
    </x:xf>
    <x:xf numFmtId="0" fontId="1" fillId="5" borderId="18" xfId="0" applyNumberFormat="1" applyFont="1" applyFill="1" applyBorder="1" applyAlignment="1">
      <x:alignment horizontal="left" vertical="center" wrapText="1"/>
    </x:xf>
    <x:xf numFmtId="0" fontId="1" fillId="5" borderId="19" xfId="0" applyNumberFormat="1" applyFont="1" applyFill="1" applyBorder="1" applyAlignment="1">
      <x:alignment horizontal="left" vertical="center" wrapText="1"/>
    </x:xf>
    <x:xf numFmtId="0" fontId="1" fillId="5" borderId="20" xfId="0" applyNumberFormat="1" applyFont="1" applyFill="1" applyBorder="1" applyAlignment="1">
      <x:alignment horizontal="left" vertical="center" wrapText="1"/>
    </x:xf>
    <x:xf numFmtId="0" fontId="1" fillId="5" borderId="1" xfId="0" applyNumberFormat="1" applyFont="1" applyFill="1" applyBorder="1" applyAlignment="1">
      <x:alignment horizontal="left" vertical="center" wrapText="1"/>
    </x:xf>
    <x:xf numFmtId="0" fontId="1" fillId="5" borderId="21" xfId="0" applyNumberFormat="1" applyFont="1" applyFill="1" applyBorder="1" applyAlignment="1">
      <x:alignment horizontal="left" vertical="center" wrapText="1"/>
    </x:xf>
    <x:xf numFmtId="0" fontId="1" fillId="5" borderId="22" xfId="0" applyNumberFormat="1" applyFont="1" applyFill="1" applyBorder="1" applyAlignment="1">
      <x:alignment horizontal="left" vertical="center" wrapText="1"/>
    </x:xf>
    <x:xf numFmtId="0" fontId="1" fillId="5" borderId="23" xfId="0" applyNumberFormat="1" applyFont="1" applyFill="1" applyBorder="1" applyAlignment="1">
      <x:alignment horizontal="left" vertical="center" wrapText="1"/>
    </x:xf>
    <x:xf numFmtId="0" fontId="1" fillId="5" borderId="24" xfId="0" applyNumberFormat="1" applyFont="1" applyFill="1" applyBorder="1" applyAlignment="1">
      <x:alignment horizontal="left" vertical="center" wrapText="1"/>
    </x:xf>
    <x:xf numFmtId="0" fontId="7" fillId="5" borderId="1" xfId="0" applyNumberFormat="1" applyFont="1" applyFill="1" applyBorder="1"/>
    <x:xf numFmtId="0" fontId="7" fillId="5" borderId="25" xfId="0" applyNumberFormat="1" applyFont="1" applyFill="1" applyBorder="1"/>
    <x:xf numFmtId="0" fontId="7" fillId="5" borderId="25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horizontal="left" wrapText="1"/>
    </x:xf>
    <x:xf numFmtId="0" fontId="7" fillId="5" borderId="25" xfId="0" applyNumberFormat="1" applyFont="1" applyFill="1" applyBorder="1" applyAlignment="1">
      <x:alignment horizontal="left" vertical="center" wrapText="1"/>
    </x:xf>
    <x:xf numFmtId="0" fontId="8" fillId="2" borderId="1" xfId="0" applyNumberFormat="1" applyFont="1" applyFill="1" applyBorder="1"/>
    <x:xf numFmtId="0" fontId="8" fillId="2" borderId="26" xfId="0" applyNumberFormat="1" applyFont="1" applyFill="1" applyBorder="1"/>
    <x:xf numFmtId="0" fontId="8" fillId="2" borderId="26" xfId="0" applyNumberFormat="1" applyFont="1" applyFill="1" applyBorder="1" applyAlignment="1">
      <x:alignment wrapText="1"/>
    </x:xf>
    <x:xf numFmtId="0" fontId="8" fillId="2" borderId="26" xfId="0" applyNumberFormat="1" applyFont="1" applyFill="1" applyBorder="1" applyAlignment="1">
      <x:alignment horizontal="center" wrapText="1"/>
    </x:xf>
    <x:xf numFmtId="0" fontId="8" fillId="2" borderId="26" xfId="0" applyNumberFormat="1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horizontal="left" wrapText="1"/>
    </x:xf>
    <x:xf numFmtId="0" fontId="9" fillId="2" borderId="1" xfId="0" applyNumberFormat="1" applyFont="1" applyFill="1" applyBorder="1" applyAlignment="1">
      <x:alignment horizontal="left" vertical="center" wrapText="1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horizontal="left" wrapText="1"/>
    </x:xf>
    <x:xf numFmtId="0" fontId="10" fillId="3" borderId="1" xfId="0" applyNumberFormat="1" applyFont="1" applyFill="1" applyBorder="1" applyAlignment="1">
      <x:alignment horizontal="left" vertical="center" wrapText="1"/>
    </x:xf>
    <x:xf numFmtId="0" fontId="11" fillId="4" borderId="1" xfId="0" applyNumberFormat="1" applyFont="1" applyFill="1" applyBorder="1"/>
    <x:xf numFmtId="0" fontId="11" fillId="4" borderId="25" xfId="0" applyNumberFormat="1" applyFont="1" applyFill="1" applyBorder="1"/>
    <x:xf numFmtId="0" fontId="11" fillId="4" borderId="25" xfId="0" applyNumberFormat="1" applyFont="1" applyFill="1" applyBorder="1" applyAlignment="1">
      <x:alignment wrapText="1"/>
    </x:xf>
    <x:xf numFmtId="0" fontId="11" fillId="4" borderId="25" xfId="0" applyNumberFormat="1" applyFont="1" applyFill="1" applyBorder="1" applyAlignment="1">
      <x:alignment horizontal="center" wrapText="1"/>
    </x:xf>
    <x:xf numFmtId="0" fontId="11" fillId="4" borderId="25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horizont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/>
    <x:xf numFmtId="0" fontId="13" fillId="0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horizontal="center" wrapText="1"/>
    </x:xf>
    <x:xf numFmtId="0" fontId="13" fillId="0" borderId="1" xfId="0" applyNumberFormat="1" applyFont="1" applyFill="1" applyBorder="1" applyAlignment="1">
      <x:alignment horizontal="center" vertical="center" wrapText="1"/>
    </x:xf>
    <x:xf numFmtId="0" fontId="14" fillId="0" borderId="1" xfId="0" applyNumberFormat="1" applyFont="1" applyFill="1" applyBorder="1"/>
    <x:xf numFmtId="0" fontId="14" fillId="0" borderId="1" xfId="0" applyNumberFormat="1" applyFont="1" applyFill="1" applyBorder="1" applyAlignment="1">
      <x:alignment wrapText="1"/>
    </x:xf>
    <x:xf numFmtId="0" fontId="14" fillId="0" borderId="1" xfId="0" applyNumberFormat="1" applyFont="1" applyFill="1" applyBorder="1" applyAlignment="1">
      <x:alignment horizontal="center" wrapText="1"/>
    </x:xf>
    <x:xf numFmtId="0" fontId="14" fillId="0" borderId="1" xfId="0" applyNumberFormat="1" applyFont="1" applyFill="1" applyBorder="1" applyAlignment="1">
      <x:alignment horizontal="center" vertical="center" wrapText="1"/>
    </x:xf>
    <x:xf numFmtId="0" fontId="15" fillId="0" borderId="1" xfId="0" applyNumberFormat="1" applyFont="1" applyFill="1" applyBorder="1"/>
    <x:xf numFmtId="0" fontId="15" fillId="0" borderId="1" xfId="0" applyNumberFormat="1" applyFont="1" applyFill="1" applyBorder="1" applyAlignment="1">
      <x:alignment wrapText="1"/>
    </x:xf>
    <x:xf numFmtId="0" fontId="15" fillId="0" borderId="1" xfId="0" applyNumberFormat="1" applyFont="1" applyFill="1" applyBorder="1" applyAlignment="1">
      <x:alignment horizontal="left" wrapText="1"/>
    </x:xf>
    <x:xf numFmtId="0" fontId="15" fillId="0" borderId="1" xfId="0" applyNumberFormat="1" applyFont="1" applyFill="1" applyBorder="1" applyAlignment="1">
      <x:alignment horizontal="left" vertical="center" wrapText="1"/>
    </x:xf>
    <x:xf numFmtId="0" fontId="16" fillId="0" borderId="1" xfId="0" applyNumberFormat="1" applyFont="1" applyFill="1" applyBorder="1"/>
    <x:xf numFmtId="0" fontId="16" fillId="0" borderId="1" xfId="0" applyNumberFormat="1" applyFont="1" applyFill="1" applyBorder="1" applyAlignment="1">
      <x:alignment wrapText="1"/>
    </x:xf>
    <x:xf numFmtId="0" fontId="16" fillId="0" borderId="1" xfId="0" applyNumberFormat="1" applyFont="1" applyFill="1" applyBorder="1" applyAlignment="1">
      <x:alignment horizontal="center" wrapText="1"/>
    </x:xf>
    <x:xf numFmtId="0" fontId="16" fillId="0" borderId="1" xfId="0" applyNumberFormat="1" applyFont="1" applyFill="1" applyBorder="1" applyAlignment="1">
      <x:alignment horizontal="center" vertical="center" wrapText="1"/>
    </x:xf>
    <x:xf numFmtId="0" fontId="17" fillId="0" borderId="1" xfId="0" applyNumberFormat="1" applyFont="1" applyFill="1" applyBorder="1"/>
    <x:xf numFmtId="0" fontId="17" fillId="0" borderId="1" xfId="0" applyNumberFormat="1" applyFont="1" applyFill="1" applyBorder="1" applyAlignment="1">
      <x:alignment wrapText="1"/>
    </x:xf>
    <x:xf numFmtId="0" fontId="17" fillId="0" borderId="1" xfId="0" applyNumberFormat="1" applyFont="1" applyFill="1" applyBorder="1" applyAlignment="1">
      <x:alignment horizontal="center" wrapText="1"/>
    </x:xf>
    <x:xf numFmtId="0" fontId="17" fillId="0" borderId="1" xfId="0" applyNumberFormat="1" applyFont="1" applyFill="1" applyBorder="1" applyAlignment="1">
      <x:alignment horizontal="center" vertical="center" wrapText="1"/>
    </x:xf>
    <x:xf numFmtId="0" fontId="18" fillId="0" borderId="1" xfId="0" applyNumberFormat="1" applyFont="1" applyFill="1" applyBorder="1"/>
    <x:xf numFmtId="0" fontId="18" fillId="0" borderId="1" xfId="0" applyNumberFormat="1" applyFont="1" applyFill="1" applyBorder="1" applyAlignment="1">
      <x:alignment wrapText="1"/>
    </x:xf>
    <x:xf numFmtId="0" fontId="18" fillId="0" borderId="1" xfId="0" applyNumberFormat="1" applyFont="1" applyFill="1" applyBorder="1" applyAlignment="1">
      <x:alignment horizontal="left" wrapText="1"/>
    </x:xf>
    <x:xf numFmtId="0" fontId="18" fillId="0" borderId="1" xfId="0" applyNumberFormat="1" applyFont="1" applyFill="1" applyBorder="1" applyAlignment="1">
      <x:alignment horizontal="left" vertical="center" wrapText="1"/>
    </x:xf>
    <x:xf numFmtId="0" fontId="1" fillId="7" borderId="1" xfId="0" applyNumberFormat="1" applyFont="1" applyFill="1" applyBorder="1"/>
    <x:xf numFmtId="0" fontId="19" fillId="7" borderId="1" xfId="0" applyNumberFormat="1" applyFont="1" applyFill="1" applyBorder="1"/>
    <x:xf numFmtId="0" fontId="19" fillId="7" borderId="27" xfId="0" applyNumberFormat="1" applyFont="1" applyFill="1" applyBorder="1"/>
    <x:xf numFmtId="0" fontId="19" fillId="7" borderId="28" xfId="0" applyNumberFormat="1" applyFont="1" applyFill="1" applyBorder="1"/>
    <x:xf numFmtId="0" fontId="19" fillId="7" borderId="29" xfId="0" applyNumberFormat="1" applyFont="1" applyFill="1" applyBorder="1"/>
    <x:xf numFmtId="0" fontId="19" fillId="7" borderId="30" xfId="0" applyNumberFormat="1" applyFont="1" applyFill="1" applyBorder="1"/>
    <x:xf numFmtId="0" fontId="19" fillId="7" borderId="31" xfId="0" applyNumberFormat="1" applyFont="1" applyFill="1" applyBorder="1"/>
    <x:xf numFmtId="0" fontId="19" fillId="7" borderId="32" xfId="0" applyNumberFormat="1" applyFont="1" applyFill="1" applyBorder="1"/>
    <x:xf numFmtId="0" fontId="19" fillId="7" borderId="33" xfId="0" applyNumberFormat="1" applyFont="1" applyFill="1" applyBorder="1"/>
    <x:xf numFmtId="0" fontId="19" fillId="7" borderId="34" xfId="0" applyNumberFormat="1" applyFont="1" applyFill="1" applyBorder="1"/>
    <x:xf numFmtId="0" fontId="19" fillId="7" borderId="27" xfId="0" applyNumberFormat="1" applyFont="1" applyFill="1" applyBorder="1" applyAlignment="1">
      <x:alignment wrapText="1"/>
    </x:xf>
    <x:xf numFmtId="0" fontId="19" fillId="7" borderId="28" xfId="0" applyNumberFormat="1" applyFont="1" applyFill="1" applyBorder="1" applyAlignment="1">
      <x:alignment wrapText="1"/>
    </x:xf>
    <x:xf numFmtId="0" fontId="19" fillId="7" borderId="29" xfId="0" applyNumberFormat="1" applyFont="1" applyFill="1" applyBorder="1" applyAlignment="1">
      <x:alignment wrapText="1"/>
    </x:xf>
    <x:xf numFmtId="0" fontId="19" fillId="7" borderId="30" xfId="0" applyNumberFormat="1" applyFont="1" applyFill="1" applyBorder="1" applyAlignment="1">
      <x:alignment wrapText="1"/>
    </x:xf>
    <x:xf numFmtId="0" fontId="19" fillId="7" borderId="1" xfId="0" applyNumberFormat="1" applyFont="1" applyFill="1" applyBorder="1" applyAlignment="1">
      <x:alignment wrapText="1"/>
    </x:xf>
    <x:xf numFmtId="0" fontId="19" fillId="7" borderId="31" xfId="0" applyNumberFormat="1" applyFont="1" applyFill="1" applyBorder="1" applyAlignment="1">
      <x:alignment wrapText="1"/>
    </x:xf>
    <x:xf numFmtId="0" fontId="19" fillId="7" borderId="32" xfId="0" applyNumberFormat="1" applyFont="1" applyFill="1" applyBorder="1" applyAlignment="1">
      <x:alignment wrapText="1"/>
    </x:xf>
    <x:xf numFmtId="0" fontId="19" fillId="7" borderId="33" xfId="0" applyNumberFormat="1" applyFont="1" applyFill="1" applyBorder="1" applyAlignment="1">
      <x:alignment wrapText="1"/>
    </x:xf>
    <x:xf numFmtId="0" fontId="19" fillId="7" borderId="34" xfId="0" applyNumberFormat="1" applyFont="1" applyFill="1" applyBorder="1" applyAlignment="1">
      <x:alignment wrapText="1"/>
    </x:xf>
    <x:xf numFmtId="0" fontId="19" fillId="7" borderId="27" xfId="0" applyNumberFormat="1" applyFont="1" applyFill="1" applyBorder="1" applyAlignment="1">
      <x:alignment horizontal="left" wrapText="1"/>
    </x:xf>
    <x:xf numFmtId="0" fontId="19" fillId="7" borderId="28" xfId="0" applyNumberFormat="1" applyFont="1" applyFill="1" applyBorder="1" applyAlignment="1">
      <x:alignment horizontal="left" wrapText="1"/>
    </x:xf>
    <x:xf numFmtId="0" fontId="19" fillId="7" borderId="29" xfId="0" applyNumberFormat="1" applyFont="1" applyFill="1" applyBorder="1" applyAlignment="1">
      <x:alignment horizontal="left" wrapText="1"/>
    </x:xf>
    <x:xf numFmtId="0" fontId="19" fillId="7" borderId="30" xfId="0" applyNumberFormat="1" applyFont="1" applyFill="1" applyBorder="1" applyAlignment="1">
      <x:alignment horizontal="left" wrapText="1"/>
    </x:xf>
    <x:xf numFmtId="0" fontId="19" fillId="7" borderId="1" xfId="0" applyNumberFormat="1" applyFont="1" applyFill="1" applyBorder="1" applyAlignment="1">
      <x:alignment horizontal="left" wrapText="1"/>
    </x:xf>
    <x:xf numFmtId="0" fontId="19" fillId="7" borderId="31" xfId="0" applyNumberFormat="1" applyFont="1" applyFill="1" applyBorder="1" applyAlignment="1">
      <x:alignment horizontal="left" wrapText="1"/>
    </x:xf>
    <x:xf numFmtId="0" fontId="19" fillId="7" borderId="32" xfId="0" applyNumberFormat="1" applyFont="1" applyFill="1" applyBorder="1" applyAlignment="1">
      <x:alignment horizontal="left" wrapText="1"/>
    </x:xf>
    <x:xf numFmtId="0" fontId="19" fillId="7" borderId="33" xfId="0" applyNumberFormat="1" applyFont="1" applyFill="1" applyBorder="1" applyAlignment="1">
      <x:alignment horizontal="left" wrapText="1"/>
    </x:xf>
    <x:xf numFmtId="0" fontId="19" fillId="7" borderId="34" xfId="0" applyNumberFormat="1" applyFont="1" applyFill="1" applyBorder="1" applyAlignment="1">
      <x:alignment horizontal="left" wrapText="1"/>
    </x:xf>
    <x:xf numFmtId="0" fontId="19" fillId="7" borderId="27" xfId="0" applyNumberFormat="1" applyFont="1" applyFill="1" applyBorder="1" applyAlignment="1">
      <x:alignment horizontal="left" vertical="center" wrapText="1"/>
    </x:xf>
    <x:xf numFmtId="0" fontId="19" fillId="7" borderId="28" xfId="0" applyNumberFormat="1" applyFont="1" applyFill="1" applyBorder="1" applyAlignment="1">
      <x:alignment horizontal="left" vertical="center" wrapText="1"/>
    </x:xf>
    <x:xf numFmtId="0" fontId="19" fillId="7" borderId="29" xfId="0" applyNumberFormat="1" applyFont="1" applyFill="1" applyBorder="1" applyAlignment="1">
      <x:alignment horizontal="left" vertical="center" wrapText="1"/>
    </x:xf>
    <x:xf numFmtId="0" fontId="19" fillId="7" borderId="30" xfId="0" applyNumberFormat="1" applyFont="1" applyFill="1" applyBorder="1" applyAlignment="1">
      <x:alignment horizontal="left" vertical="center" wrapText="1"/>
    </x:xf>
    <x:xf numFmtId="0" fontId="19" fillId="7" borderId="1" xfId="0" applyNumberFormat="1" applyFont="1" applyFill="1" applyBorder="1" applyAlignment="1">
      <x:alignment horizontal="left" vertical="center" wrapText="1"/>
    </x:xf>
    <x:xf numFmtId="0" fontId="19" fillId="7" borderId="31" xfId="0" applyNumberFormat="1" applyFont="1" applyFill="1" applyBorder="1" applyAlignment="1">
      <x:alignment horizontal="left" vertical="center" wrapText="1"/>
    </x:xf>
    <x:xf numFmtId="0" fontId="19" fillId="7" borderId="32" xfId="0" applyNumberFormat="1" applyFont="1" applyFill="1" applyBorder="1" applyAlignment="1">
      <x:alignment horizontal="left" vertical="center" wrapText="1"/>
    </x:xf>
    <x:xf numFmtId="0" fontId="19" fillId="7" borderId="33" xfId="0" applyNumberFormat="1" applyFont="1" applyFill="1" applyBorder="1" applyAlignment="1">
      <x:alignment horizontal="left" vertical="center" wrapText="1"/>
    </x:xf>
    <x:xf numFmtId="0" fontId="19" fillId="7" borderId="34" xfId="0" applyNumberFormat="1" applyFont="1" applyFill="1" applyBorder="1" applyAlignment="1">
      <x:alignment horizontal="left" vertical="center" wrapText="1"/>
    </x:xf>
    <x:xf numFmtId="0" fontId="20" fillId="5" borderId="1" xfId="0" applyNumberFormat="1" applyFont="1" applyFill="1" applyBorder="1"/>
    <x:xf numFmtId="0" fontId="20" fillId="5" borderId="25" xfId="0" applyNumberFormat="1" applyFont="1" applyFill="1" applyBorder="1"/>
    <x:xf numFmtId="0" fontId="20" fillId="5" borderId="25" xfId="0" applyNumberFormat="1" applyFont="1" applyFill="1" applyBorder="1" applyAlignment="1">
      <x:alignment wrapText="1"/>
    </x:xf>
    <x:xf numFmtId="0" fontId="20" fillId="5" borderId="25" xfId="0" applyNumberFormat="1" applyFont="1" applyFill="1" applyBorder="1" applyAlignment="1">
      <x:alignment horizontal="left" wrapText="1"/>
    </x:xf>
    <x:xf numFmtId="0" fontId="20" fillId="5" borderId="25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21" fillId="8" borderId="0" xfId="0" applyNumberFormat="1" applyFont="1" applyFill="1" applyBorder="1"/>
    <x:xf numFmtId="0" fontId="21" fillId="8" borderId="35" xfId="0" applyNumberFormat="1" applyFont="1" applyFill="1" applyBorder="1"/>
    <x:xf numFmtId="0" fontId="21" fillId="8" borderId="36" xfId="0" applyNumberFormat="1" applyFont="1" applyFill="1" applyBorder="1"/>
    <x:xf numFmtId="0" fontId="21" fillId="8" borderId="37" xfId="0" applyNumberFormat="1" applyFont="1" applyFill="1" applyBorder="1"/>
    <x:xf numFmtId="0" fontId="21" fillId="8" borderId="38" xfId="0" applyNumberFormat="1" applyFont="1" applyFill="1" applyBorder="1"/>
    <x:xf numFmtId="0" fontId="21" fillId="8" borderId="39" xfId="0" applyNumberFormat="1" applyFont="1" applyFill="1" applyBorder="1"/>
    <x:xf numFmtId="0" fontId="21" fillId="8" borderId="40" xfId="0" applyNumberFormat="1" applyFont="1" applyFill="1" applyBorder="1"/>
    <x:xf numFmtId="0" fontId="21" fillId="8" borderId="41" xfId="0" applyNumberFormat="1" applyFont="1" applyFill="1" applyBorder="1"/>
    <x:xf numFmtId="0" fontId="21" fillId="8" borderId="42" xfId="0" applyNumberFormat="1" applyFont="1" applyFill="1" applyBorder="1"/>
    <x:xf numFmtId="0" fontId="21" fillId="8" borderId="35" xfId="0" applyNumberFormat="1" applyFont="1" applyFill="1" applyBorder="1" applyAlignment="1">
      <x:alignment wrapText="1"/>
    </x:xf>
    <x:xf numFmtId="0" fontId="21" fillId="8" borderId="36" xfId="0" applyNumberFormat="1" applyFont="1" applyFill="1" applyBorder="1" applyAlignment="1">
      <x:alignment wrapText="1"/>
    </x:xf>
    <x:xf numFmtId="0" fontId="21" fillId="8" borderId="37" xfId="0" applyNumberFormat="1" applyFont="1" applyFill="1" applyBorder="1" applyAlignment="1">
      <x:alignment wrapText="1"/>
    </x:xf>
    <x:xf numFmtId="0" fontId="21" fillId="8" borderId="38" xfId="0" applyNumberFormat="1" applyFont="1" applyFill="1" applyBorder="1" applyAlignment="1">
      <x:alignment wrapText="1"/>
    </x:xf>
    <x:xf numFmtId="0" fontId="21" fillId="8" borderId="0" xfId="0" applyNumberFormat="1" applyFont="1" applyFill="1" applyBorder="1" applyAlignment="1">
      <x:alignment wrapText="1"/>
    </x:xf>
    <x:xf numFmtId="0" fontId="21" fillId="8" borderId="39" xfId="0" applyNumberFormat="1" applyFont="1" applyFill="1" applyBorder="1" applyAlignment="1">
      <x:alignment wrapText="1"/>
    </x:xf>
    <x:xf numFmtId="0" fontId="21" fillId="8" borderId="40" xfId="0" applyNumberFormat="1" applyFont="1" applyFill="1" applyBorder="1" applyAlignment="1">
      <x:alignment wrapText="1"/>
    </x:xf>
    <x:xf numFmtId="0" fontId="21" fillId="8" borderId="41" xfId="0" applyNumberFormat="1" applyFont="1" applyFill="1" applyBorder="1" applyAlignment="1">
      <x:alignment wrapText="1"/>
    </x:xf>
    <x:xf numFmtId="0" fontId="21" fillId="8" borderId="42" xfId="0" applyNumberFormat="1" applyFont="1" applyFill="1" applyBorder="1" applyAlignment="1">
      <x:alignment wrapText="1"/>
    </x:xf>
    <x:xf numFmtId="0" fontId="21" fillId="8" borderId="35" xfId="0" applyNumberFormat="1" applyFont="1" applyFill="1" applyBorder="1" applyAlignment="1">
      <x:alignment horizontal="left" wrapText="1"/>
    </x:xf>
    <x:xf numFmtId="0" fontId="21" fillId="8" borderId="36" xfId="0" applyNumberFormat="1" applyFont="1" applyFill="1" applyBorder="1" applyAlignment="1">
      <x:alignment horizontal="left" wrapText="1"/>
    </x:xf>
    <x:xf numFmtId="0" fontId="21" fillId="8" borderId="37" xfId="0" applyNumberFormat="1" applyFont="1" applyFill="1" applyBorder="1" applyAlignment="1">
      <x:alignment horizontal="left" wrapText="1"/>
    </x:xf>
    <x:xf numFmtId="0" fontId="21" fillId="8" borderId="38" xfId="0" applyNumberFormat="1" applyFont="1" applyFill="1" applyBorder="1" applyAlignment="1">
      <x:alignment horizontal="left" wrapText="1"/>
    </x:xf>
    <x:xf numFmtId="0" fontId="21" fillId="8" borderId="0" xfId="0" applyNumberFormat="1" applyFont="1" applyFill="1" applyBorder="1" applyAlignment="1">
      <x:alignment horizontal="left" wrapText="1"/>
    </x:xf>
    <x:xf numFmtId="0" fontId="21" fillId="8" borderId="39" xfId="0" applyNumberFormat="1" applyFont="1" applyFill="1" applyBorder="1" applyAlignment="1">
      <x:alignment horizontal="left" wrapText="1"/>
    </x:xf>
    <x:xf numFmtId="0" fontId="21" fillId="8" borderId="40" xfId="0" applyNumberFormat="1" applyFont="1" applyFill="1" applyBorder="1" applyAlignment="1">
      <x:alignment horizontal="left" wrapText="1"/>
    </x:xf>
    <x:xf numFmtId="0" fontId="21" fillId="8" borderId="41" xfId="0" applyNumberFormat="1" applyFont="1" applyFill="1" applyBorder="1" applyAlignment="1">
      <x:alignment horizontal="left" wrapText="1"/>
    </x:xf>
    <x:xf numFmtId="0" fontId="21" fillId="8" borderId="42" xfId="0" applyNumberFormat="1" applyFont="1" applyFill="1" applyBorder="1" applyAlignment="1">
      <x:alignment horizontal="left" wrapText="1"/>
    </x:xf>
    <x:xf numFmtId="0" fontId="21" fillId="8" borderId="35" xfId="0" applyNumberFormat="1" applyFont="1" applyFill="1" applyBorder="1" applyAlignment="1">
      <x:alignment horizontal="left" vertical="center" wrapText="1"/>
    </x:xf>
    <x:xf numFmtId="0" fontId="21" fillId="8" borderId="36" xfId="0" applyNumberFormat="1" applyFont="1" applyFill="1" applyBorder="1" applyAlignment="1">
      <x:alignment horizontal="left" vertical="center" wrapText="1"/>
    </x:xf>
    <x:xf numFmtId="0" fontId="21" fillId="8" borderId="37" xfId="0" applyNumberFormat="1" applyFont="1" applyFill="1" applyBorder="1" applyAlignment="1">
      <x:alignment horizontal="left" vertical="center" wrapText="1"/>
    </x:xf>
    <x:xf numFmtId="0" fontId="21" fillId="8" borderId="38" xfId="0" applyNumberFormat="1" applyFont="1" applyFill="1" applyBorder="1" applyAlignment="1">
      <x:alignment horizontal="left" vertical="center" wrapText="1"/>
    </x:xf>
    <x:xf numFmtId="0" fontId="21" fillId="8" borderId="0" xfId="0" applyNumberFormat="1" applyFont="1" applyFill="1" applyBorder="1" applyAlignment="1">
      <x:alignment horizontal="left" vertical="center" wrapText="1"/>
    </x:xf>
    <x:xf numFmtId="0" fontId="21" fillId="8" borderId="39" xfId="0" applyNumberFormat="1" applyFont="1" applyFill="1" applyBorder="1" applyAlignment="1">
      <x:alignment horizontal="left" vertical="center" wrapText="1"/>
    </x:xf>
    <x:xf numFmtId="0" fontId="21" fillId="8" borderId="40" xfId="0" applyNumberFormat="1" applyFont="1" applyFill="1" applyBorder="1" applyAlignment="1">
      <x:alignment horizontal="left" vertical="center" wrapText="1"/>
    </x:xf>
    <x:xf numFmtId="0" fontId="21" fillId="8" borderId="41" xfId="0" applyNumberFormat="1" applyFont="1" applyFill="1" applyBorder="1" applyAlignment="1">
      <x:alignment horizontal="left" vertical="center" wrapText="1"/>
    </x:xf>
    <x:xf numFmtId="0" fontId="21" fillId="8" borderId="42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3" xfId="0" applyNumberFormat="1" applyFont="1" applyFill="1" applyBorder="1"/>
    <x:xf numFmtId="0" fontId="6" fillId="6" borderId="44" xfId="0" applyNumberFormat="1" applyFont="1" applyFill="1" applyBorder="1"/>
    <x:xf numFmtId="0" fontId="6" fillId="6" borderId="45" xfId="0" applyNumberFormat="1" applyFont="1" applyFill="1" applyBorder="1"/>
    <x:xf numFmtId="0" fontId="6" fillId="6" borderId="46" xfId="0" applyNumberFormat="1" applyFont="1" applyFill="1" applyBorder="1"/>
    <x:xf numFmtId="0" fontId="6" fillId="6" borderId="47" xfId="0" applyNumberFormat="1" applyFont="1" applyFill="1" applyBorder="1"/>
    <x:xf numFmtId="0" fontId="6" fillId="6" borderId="48" xfId="0" applyNumberFormat="1" applyFont="1" applyFill="1" applyBorder="1"/>
    <x:xf numFmtId="0" fontId="6" fillId="6" borderId="43" xfId="0" applyNumberFormat="1" applyFont="1" applyFill="1" applyBorder="1" applyAlignment="1">
      <x:alignment wrapText="1"/>
    </x:xf>
    <x:xf numFmtId="0" fontId="6" fillId="6" borderId="44" xfId="0" applyNumberFormat="1" applyFont="1" applyFill="1" applyBorder="1" applyAlignment="1">
      <x:alignment wrapText="1"/>
    </x:xf>
    <x:xf numFmtId="0" fontId="6" fillId="6" borderId="45" xfId="0" applyNumberFormat="1" applyFont="1" applyFill="1" applyBorder="1" applyAlignment="1">
      <x:alignment wrapText="1"/>
    </x:xf>
    <x:xf numFmtId="0" fontId="6" fillId="6" borderId="46" xfId="0" applyNumberFormat="1" applyFont="1" applyFill="1" applyBorder="1" applyAlignment="1">
      <x:alignment wrapText="1"/>
    </x:xf>
    <x:xf numFmtId="0" fontId="6" fillId="6" borderId="47" xfId="0" applyNumberFormat="1" applyFont="1" applyFill="1" applyBorder="1" applyAlignment="1">
      <x:alignment wrapText="1"/>
    </x:xf>
    <x:xf numFmtId="0" fontId="6" fillId="6" borderId="48" xfId="0" applyNumberFormat="1" applyFont="1" applyFill="1" applyBorder="1" applyAlignment="1">
      <x:alignment wrapText="1"/>
    </x:xf>
    <x:xf numFmtId="0" fontId="6" fillId="6" borderId="43" xfId="0" applyNumberFormat="1" applyFont="1" applyFill="1" applyBorder="1" applyAlignment="1">
      <x:alignment horizontal="left" wrapText="1"/>
    </x:xf>
    <x:xf numFmtId="0" fontId="6" fillId="6" borderId="44" xfId="0" applyNumberFormat="1" applyFont="1" applyFill="1" applyBorder="1" applyAlignment="1">
      <x:alignment horizontal="left" wrapText="1"/>
    </x:xf>
    <x:xf numFmtId="0" fontId="6" fillId="6" borderId="45" xfId="0" applyNumberFormat="1" applyFont="1" applyFill="1" applyBorder="1" applyAlignment="1">
      <x:alignment horizontal="left" wrapText="1"/>
    </x:xf>
    <x:xf numFmtId="0" fontId="6" fillId="6" borderId="46" xfId="0" applyNumberFormat="1" applyFont="1" applyFill="1" applyBorder="1" applyAlignment="1">
      <x:alignment horizontal="left" wrapText="1"/>
    </x:xf>
    <x:xf numFmtId="0" fontId="6" fillId="6" borderId="47" xfId="0" applyNumberFormat="1" applyFont="1" applyFill="1" applyBorder="1" applyAlignment="1">
      <x:alignment horizontal="left" wrapText="1"/>
    </x:xf>
    <x:xf numFmtId="0" fontId="6" fillId="6" borderId="48" xfId="0" applyNumberFormat="1" applyFont="1" applyFill="1" applyBorder="1" applyAlignment="1">
      <x:alignment horizontal="left" wrapText="1"/>
    </x:xf>
    <x:xf numFmtId="0" fontId="6" fillId="6" borderId="43" xfId="0" applyNumberFormat="1" applyFont="1" applyFill="1" applyBorder="1" applyAlignment="1">
      <x:alignment horizontal="left" vertical="center" wrapText="1"/>
    </x:xf>
    <x:xf numFmtId="0" fontId="6" fillId="6" borderId="44" xfId="0" applyNumberFormat="1" applyFont="1" applyFill="1" applyBorder="1" applyAlignment="1">
      <x:alignment horizontal="left" vertical="center" wrapText="1"/>
    </x:xf>
    <x:xf numFmtId="0" fontId="6" fillId="6" borderId="45" xfId="0" applyNumberFormat="1" applyFont="1" applyFill="1" applyBorder="1" applyAlignment="1">
      <x:alignment horizontal="left" vertical="center" wrapText="1"/>
    </x:xf>
    <x:xf numFmtId="0" fontId="6" fillId="6" borderId="46" xfId="0" applyNumberFormat="1" applyFont="1" applyFill="1" applyBorder="1" applyAlignment="1">
      <x:alignment horizontal="left" vertical="center" wrapText="1"/>
    </x:xf>
    <x:xf numFmtId="0" fontId="6" fillId="6" borderId="47" xfId="0" applyNumberFormat="1" applyFont="1" applyFill="1" applyBorder="1" applyAlignment="1">
      <x:alignment horizontal="left" vertical="center" wrapText="1"/>
    </x:xf>
    <x:xf numFmtId="0" fontId="6" fillId="6" borderId="48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horizontal="left" wrapText="1"/>
    </x:xf>
    <x:xf numFmtId="0" fontId="4" fillId="3" borderId="10" xfId="0" applyNumberFormat="1" applyFont="1" applyFill="1" applyBorder="1" applyAlignment="1">
      <x:alignment horizontal="left" vertical="center" wrapText="1"/>
    </x:xf>
    <x:xf numFmtId="0" fontId="22" fillId="0" borderId="0" xfId="0" applyNumberFormat="1" applyFont="1" applyFill="1" applyBorder="1"/>
    <x:xf numFmtId="0" fontId="22" fillId="0" borderId="49" xfId="0" applyNumberFormat="1" applyFont="1" applyFill="1" applyBorder="1"/>
    <x:xf numFmtId="0" fontId="22" fillId="0" borderId="50" xfId="0" applyNumberFormat="1" applyFont="1" applyFill="1" applyBorder="1"/>
    <x:xf numFmtId="0" fontId="22" fillId="0" borderId="51" xfId="0" applyNumberFormat="1" applyFont="1" applyFill="1" applyBorder="1"/>
    <x:xf numFmtId="0" fontId="22" fillId="0" borderId="52" xfId="0" applyNumberFormat="1" applyFont="1" applyFill="1" applyBorder="1"/>
    <x:xf numFmtId="0" fontId="22" fillId="0" borderId="53" xfId="0" applyNumberFormat="1" applyFont="1" applyFill="1" applyBorder="1"/>
    <x:xf numFmtId="0" fontId="22" fillId="0" borderId="54" xfId="0" applyNumberFormat="1" applyFont="1" applyFill="1" applyBorder="1"/>
    <x:xf numFmtId="0" fontId="22" fillId="0" borderId="55" xfId="0" applyNumberFormat="1" applyFont="1" applyFill="1" applyBorder="1"/>
    <x:xf numFmtId="0" fontId="22" fillId="0" borderId="56" xfId="0" applyNumberFormat="1" applyFont="1" applyFill="1" applyBorder="1"/>
    <x:xf numFmtId="0" fontId="22" fillId="0" borderId="49" xfId="0" applyNumberFormat="1" applyFont="1" applyFill="1" applyBorder="1" applyAlignment="1">
      <x:alignment wrapText="1"/>
    </x:xf>
    <x:xf numFmtId="0" fontId="22" fillId="0" borderId="50" xfId="0" applyNumberFormat="1" applyFont="1" applyFill="1" applyBorder="1" applyAlignment="1">
      <x:alignment wrapText="1"/>
    </x:xf>
    <x:xf numFmtId="0" fontId="22" fillId="0" borderId="51" xfId="0" applyNumberFormat="1" applyFont="1" applyFill="1" applyBorder="1" applyAlignment="1">
      <x:alignment wrapText="1"/>
    </x:xf>
    <x:xf numFmtId="0" fontId="22" fillId="0" borderId="52" xfId="0" applyNumberFormat="1" applyFont="1" applyFill="1" applyBorder="1" applyAlignment="1">
      <x:alignment wrapText="1"/>
    </x:xf>
    <x:xf numFmtId="0" fontId="22" fillId="0" borderId="0" xfId="0" applyNumberFormat="1" applyFont="1" applyFill="1" applyBorder="1" applyAlignment="1">
      <x:alignment wrapText="1"/>
    </x:xf>
    <x:xf numFmtId="0" fontId="22" fillId="0" borderId="53" xfId="0" applyNumberFormat="1" applyFont="1" applyFill="1" applyBorder="1" applyAlignment="1">
      <x:alignment wrapText="1"/>
    </x:xf>
    <x:xf numFmtId="0" fontId="22" fillId="0" borderId="54" xfId="0" applyNumberFormat="1" applyFont="1" applyFill="1" applyBorder="1" applyAlignment="1">
      <x:alignment wrapText="1"/>
    </x:xf>
    <x:xf numFmtId="0" fontId="22" fillId="0" borderId="55" xfId="0" applyNumberFormat="1" applyFont="1" applyFill="1" applyBorder="1" applyAlignment="1">
      <x:alignment wrapText="1"/>
    </x:xf>
    <x:xf numFmtId="0" fontId="22" fillId="0" borderId="56" xfId="0" applyNumberFormat="1" applyFont="1" applyFill="1" applyBorder="1" applyAlignment="1">
      <x:alignment wrapText="1"/>
    </x:xf>
    <x:xf numFmtId="0" fontId="22" fillId="0" borderId="49" xfId="0" applyNumberFormat="1" applyFont="1" applyFill="1" applyBorder="1" applyAlignment="1">
      <x:alignment horizontal="center" wrapText="1"/>
    </x:xf>
    <x:xf numFmtId="0" fontId="22" fillId="0" borderId="50" xfId="0" applyNumberFormat="1" applyFont="1" applyFill="1" applyBorder="1" applyAlignment="1">
      <x:alignment horizontal="center" wrapText="1"/>
    </x:xf>
    <x:xf numFmtId="0" fontId="22" fillId="0" borderId="51" xfId="0" applyNumberFormat="1" applyFont="1" applyFill="1" applyBorder="1" applyAlignment="1">
      <x:alignment horizontal="center" wrapText="1"/>
    </x:xf>
    <x:xf numFmtId="0" fontId="22" fillId="0" borderId="52" xfId="0" applyNumberFormat="1" applyFont="1" applyFill="1" applyBorder="1" applyAlignment="1">
      <x:alignment horizontal="center" wrapText="1"/>
    </x:xf>
    <x:xf numFmtId="0" fontId="22" fillId="0" borderId="0" xfId="0" applyNumberFormat="1" applyFont="1" applyFill="1" applyBorder="1" applyAlignment="1">
      <x:alignment horizontal="center" wrapText="1"/>
    </x:xf>
    <x:xf numFmtId="0" fontId="22" fillId="0" borderId="53" xfId="0" applyNumberFormat="1" applyFont="1" applyFill="1" applyBorder="1" applyAlignment="1">
      <x:alignment horizontal="center" wrapText="1"/>
    </x:xf>
    <x:xf numFmtId="0" fontId="22" fillId="0" borderId="54" xfId="0" applyNumberFormat="1" applyFont="1" applyFill="1" applyBorder="1" applyAlignment="1">
      <x:alignment horizontal="center" wrapText="1"/>
    </x:xf>
    <x:xf numFmtId="0" fontId="22" fillId="0" borderId="55" xfId="0" applyNumberFormat="1" applyFont="1" applyFill="1" applyBorder="1" applyAlignment="1">
      <x:alignment horizontal="center" wrapText="1"/>
    </x:xf>
    <x:xf numFmtId="0" fontId="22" fillId="0" borderId="56" xfId="0" applyNumberFormat="1" applyFont="1" applyFill="1" applyBorder="1" applyAlignment="1">
      <x:alignment horizontal="center" wrapText="1"/>
    </x:xf>
    <x:xf numFmtId="0" fontId="22" fillId="0" borderId="49" xfId="0" applyNumberFormat="1" applyFont="1" applyFill="1" applyBorder="1" applyAlignment="1">
      <x:alignment horizontal="center" vertical="center" wrapText="1"/>
    </x:xf>
    <x:xf numFmtId="0" fontId="22" fillId="0" borderId="50" xfId="0" applyNumberFormat="1" applyFont="1" applyFill="1" applyBorder="1" applyAlignment="1">
      <x:alignment horizontal="center" vertical="center" wrapText="1"/>
    </x:xf>
    <x:xf numFmtId="0" fontId="22" fillId="0" borderId="51" xfId="0" applyNumberFormat="1" applyFont="1" applyFill="1" applyBorder="1" applyAlignment="1">
      <x:alignment horizontal="center" vertical="center" wrapText="1"/>
    </x:xf>
    <x:xf numFmtId="0" fontId="22" fillId="0" borderId="52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 applyAlignment="1">
      <x:alignment horizontal="center" vertical="center" wrapText="1"/>
    </x:xf>
    <x:xf numFmtId="0" fontId="22" fillId="0" borderId="53" xfId="0" applyNumberFormat="1" applyFont="1" applyFill="1" applyBorder="1" applyAlignment="1">
      <x:alignment horizontal="center" vertical="center" wrapText="1"/>
    </x:xf>
    <x:xf numFmtId="0" fontId="22" fillId="0" borderId="54" xfId="0" applyNumberFormat="1" applyFont="1" applyFill="1" applyBorder="1" applyAlignment="1">
      <x:alignment horizontal="center" vertical="center" wrapText="1"/>
    </x:xf>
    <x:xf numFmtId="0" fontId="22" fillId="0" borderId="55" xfId="0" applyNumberFormat="1" applyFont="1" applyFill="1" applyBorder="1" applyAlignment="1">
      <x:alignment horizontal="center" vertical="center" wrapText="1"/>
    </x:xf>
    <x:xf numFmtId="0" fontId="22" fillId="0" borderId="56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10" xfId="0" applyNumberFormat="1" applyFont="1" applyFill="1" applyBorder="1"/>
    <x:xf numFmtId="0" fontId="4" fillId="9" borderId="10" xfId="0" applyNumberFormat="1" applyFont="1" applyFill="1" applyBorder="1" applyAlignment="1">
      <x:alignment wrapText="1"/>
    </x:xf>
    <x:xf numFmtId="0" fontId="4" fillId="9" borderId="10" xfId="0" applyNumberFormat="1" applyFont="1" applyFill="1" applyBorder="1" applyAlignment="1">
      <x:alignment horizontal="left" wrapText="1"/>
    </x:xf>
    <x:xf numFmtId="0" fontId="4" fillId="9" borderId="10" xfId="0" applyNumberFormat="1" applyFont="1" applyFill="1" applyBorder="1" applyAlignment="1">
      <x:alignment horizontal="left" vertical="center" wrapText="1"/>
    </x:xf>
    <x:xf numFmtId="0" fontId="23" fillId="0" borderId="0" xfId="0" applyNumberFormat="1" applyFont="1" applyFill="1" applyBorder="1"/>
    <x:xf numFmtId="0" fontId="23" fillId="0" borderId="57" xfId="0" applyNumberFormat="1" applyFont="1" applyFill="1" applyBorder="1"/>
    <x:xf numFmtId="0" fontId="23" fillId="0" borderId="58" xfId="0" applyNumberFormat="1" applyFont="1" applyFill="1" applyBorder="1"/>
    <x:xf numFmtId="0" fontId="23" fillId="0" borderId="59" xfId="0" applyNumberFormat="1" applyFont="1" applyFill="1" applyBorder="1"/>
    <x:xf numFmtId="0" fontId="23" fillId="0" borderId="60" xfId="0" applyNumberFormat="1" applyFont="1" applyFill="1" applyBorder="1"/>
    <x:xf numFmtId="0" fontId="23" fillId="0" borderId="61" xfId="0" applyNumberFormat="1" applyFont="1" applyFill="1" applyBorder="1"/>
    <x:xf numFmtId="0" fontId="23" fillId="0" borderId="62" xfId="0" applyNumberFormat="1" applyFont="1" applyFill="1" applyBorder="1"/>
    <x:xf numFmtId="0" fontId="23" fillId="0" borderId="63" xfId="0" applyNumberFormat="1" applyFont="1" applyFill="1" applyBorder="1"/>
    <x:xf numFmtId="0" fontId="23" fillId="0" borderId="64" xfId="0" applyNumberFormat="1" applyFont="1" applyFill="1" applyBorder="1"/>
    <x:xf numFmtId="0" fontId="23" fillId="0" borderId="57" xfId="0" applyNumberFormat="1" applyFont="1" applyFill="1" applyBorder="1" applyAlignment="1">
      <x:alignment wrapText="1"/>
    </x:xf>
    <x:xf numFmtId="0" fontId="23" fillId="0" borderId="58" xfId="0" applyNumberFormat="1" applyFont="1" applyFill="1" applyBorder="1" applyAlignment="1">
      <x:alignment wrapText="1"/>
    </x:xf>
    <x:xf numFmtId="0" fontId="23" fillId="0" borderId="59" xfId="0" applyNumberFormat="1" applyFont="1" applyFill="1" applyBorder="1" applyAlignment="1">
      <x:alignment wrapText="1"/>
    </x:xf>
    <x:xf numFmtId="0" fontId="23" fillId="0" borderId="60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wrapText="1"/>
    </x:xf>
    <x:xf numFmtId="0" fontId="23" fillId="0" borderId="61" xfId="0" applyNumberFormat="1" applyFont="1" applyFill="1" applyBorder="1" applyAlignment="1">
      <x:alignment wrapText="1"/>
    </x:xf>
    <x:xf numFmtId="0" fontId="23" fillId="0" borderId="62" xfId="0" applyNumberFormat="1" applyFont="1" applyFill="1" applyBorder="1" applyAlignment="1">
      <x:alignment wrapText="1"/>
    </x:xf>
    <x:xf numFmtId="0" fontId="23" fillId="0" borderId="63" xfId="0" applyNumberFormat="1" applyFont="1" applyFill="1" applyBorder="1" applyAlignment="1">
      <x:alignment wrapText="1"/>
    </x:xf>
    <x:xf numFmtId="0" fontId="23" fillId="0" borderId="64" xfId="0" applyNumberFormat="1" applyFont="1" applyFill="1" applyBorder="1" applyAlignment="1">
      <x:alignment wrapText="1"/>
    </x:xf>
    <x:xf numFmtId="0" fontId="23" fillId="0" borderId="57" xfId="0" applyNumberFormat="1" applyFont="1" applyFill="1" applyBorder="1" applyAlignment="1">
      <x:alignment horizontal="center" wrapText="1"/>
    </x:xf>
    <x:xf numFmtId="0" fontId="23" fillId="0" borderId="58" xfId="0" applyNumberFormat="1" applyFont="1" applyFill="1" applyBorder="1" applyAlignment="1">
      <x:alignment horizontal="center" wrapText="1"/>
    </x:xf>
    <x:xf numFmtId="0" fontId="23" fillId="0" borderId="59" xfId="0" applyNumberFormat="1" applyFont="1" applyFill="1" applyBorder="1" applyAlignment="1">
      <x:alignment horizontal="center" wrapText="1"/>
    </x:xf>
    <x:xf numFmtId="0" fontId="23" fillId="0" borderId="60" xfId="0" applyNumberFormat="1" applyFont="1" applyFill="1" applyBorder="1" applyAlignment="1">
      <x:alignment horizontal="center" wrapText="1"/>
    </x:xf>
    <x:xf numFmtId="0" fontId="23" fillId="0" borderId="0" xfId="0" applyNumberFormat="1" applyFont="1" applyFill="1" applyBorder="1" applyAlignment="1">
      <x:alignment horizontal="center" wrapText="1"/>
    </x:xf>
    <x:xf numFmtId="0" fontId="23" fillId="0" borderId="61" xfId="0" applyNumberFormat="1" applyFont="1" applyFill="1" applyBorder="1" applyAlignment="1">
      <x:alignment horizontal="center" wrapText="1"/>
    </x:xf>
    <x:xf numFmtId="0" fontId="23" fillId="0" borderId="62" xfId="0" applyNumberFormat="1" applyFont="1" applyFill="1" applyBorder="1" applyAlignment="1">
      <x:alignment horizontal="center" wrapText="1"/>
    </x:xf>
    <x:xf numFmtId="0" fontId="23" fillId="0" borderId="63" xfId="0" applyNumberFormat="1" applyFont="1" applyFill="1" applyBorder="1" applyAlignment="1">
      <x:alignment horizontal="center" wrapText="1"/>
    </x:xf>
    <x:xf numFmtId="0" fontId="23" fillId="0" borderId="64" xfId="0" applyNumberFormat="1" applyFont="1" applyFill="1" applyBorder="1" applyAlignment="1">
      <x:alignment horizontal="center" wrapText="1"/>
    </x:xf>
    <x:xf numFmtId="0" fontId="23" fillId="0" borderId="57" xfId="0" applyNumberFormat="1" applyFont="1" applyFill="1" applyBorder="1" applyAlignment="1">
      <x:alignment horizontal="center" vertical="center" wrapText="1"/>
    </x:xf>
    <x:xf numFmtId="0" fontId="23" fillId="0" borderId="58" xfId="0" applyNumberFormat="1" applyFont="1" applyFill="1" applyBorder="1" applyAlignment="1">
      <x:alignment horizontal="center" vertical="center" wrapText="1"/>
    </x:xf>
    <x:xf numFmtId="0" fontId="23" fillId="0" borderId="59" xfId="0" applyNumberFormat="1" applyFont="1" applyFill="1" applyBorder="1" applyAlignment="1">
      <x:alignment horizontal="center" vertical="center" wrapText="1"/>
    </x:xf>
    <x:xf numFmtId="0" fontId="23" fillId="0" borderId="60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 applyAlignment="1">
      <x:alignment horizontal="center" vertical="center" wrapText="1"/>
    </x:xf>
    <x:xf numFmtId="0" fontId="23" fillId="0" borderId="61" xfId="0" applyNumberFormat="1" applyFont="1" applyFill="1" applyBorder="1" applyAlignment="1">
      <x:alignment horizontal="center" vertical="center" wrapText="1"/>
    </x:xf>
    <x:xf numFmtId="0" fontId="23" fillId="0" borderId="62" xfId="0" applyNumberFormat="1" applyFont="1" applyFill="1" applyBorder="1" applyAlignment="1">
      <x:alignment horizontal="center" vertical="center" wrapText="1"/>
    </x:xf>
    <x:xf numFmtId="0" fontId="23" fillId="0" borderId="63" xfId="0" applyNumberFormat="1" applyFont="1" applyFill="1" applyBorder="1" applyAlignment="1">
      <x:alignment horizontal="center" vertical="center" wrapText="1"/>
    </x:xf>
    <x:xf numFmtId="0" fontId="23" fillId="0" borderId="64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0" xfId="0" applyNumberFormat="1" applyFont="1" applyFill="1" applyBorder="1"/>
    <x:xf numFmtId="0" fontId="4" fillId="7" borderId="10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horizontal="left" wrapText="1"/>
    </x:xf>
    <x:xf numFmtId="0" fontId="4" fillId="7" borderId="10" xfId="0" applyNumberFormat="1" applyFont="1" applyFill="1" applyBorder="1" applyAlignment="1">
      <x:alignment horizontal="left" vertical="center" wrapText="1"/>
    </x:xf>
    <x:xf numFmtId="0" fontId="24" fillId="0" borderId="0" xfId="0" applyNumberFormat="1" applyFont="1" applyFill="1" applyBorder="1"/>
    <x:xf numFmtId="0" fontId="24" fillId="0" borderId="65" xfId="0" applyNumberFormat="1" applyFont="1" applyFill="1" applyBorder="1"/>
    <x:xf numFmtId="0" fontId="24" fillId="0" borderId="66" xfId="0" applyNumberFormat="1" applyFont="1" applyFill="1" applyBorder="1"/>
    <x:xf numFmtId="0" fontId="24" fillId="0" borderId="67" xfId="0" applyNumberFormat="1" applyFont="1" applyFill="1" applyBorder="1"/>
    <x:xf numFmtId="0" fontId="24" fillId="0" borderId="68" xfId="0" applyNumberFormat="1" applyFont="1" applyFill="1" applyBorder="1"/>
    <x:xf numFmtId="0" fontId="24" fillId="0" borderId="69" xfId="0" applyNumberFormat="1" applyFont="1" applyFill="1" applyBorder="1"/>
    <x:xf numFmtId="0" fontId="24" fillId="0" borderId="70" xfId="0" applyNumberFormat="1" applyFont="1" applyFill="1" applyBorder="1"/>
    <x:xf numFmtId="0" fontId="24" fillId="0" borderId="71" xfId="0" applyNumberFormat="1" applyFont="1" applyFill="1" applyBorder="1"/>
    <x:xf numFmtId="0" fontId="24" fillId="0" borderId="72" xfId="0" applyNumberFormat="1" applyFont="1" applyFill="1" applyBorder="1"/>
    <x:xf numFmtId="0" fontId="24" fillId="0" borderId="65" xfId="0" applyNumberFormat="1" applyFont="1" applyFill="1" applyBorder="1" applyAlignment="1">
      <x:alignment wrapText="1"/>
    </x:xf>
    <x:xf numFmtId="0" fontId="24" fillId="0" borderId="66" xfId="0" applyNumberFormat="1" applyFont="1" applyFill="1" applyBorder="1" applyAlignment="1">
      <x:alignment wrapText="1"/>
    </x:xf>
    <x:xf numFmtId="0" fontId="24" fillId="0" borderId="67" xfId="0" applyNumberFormat="1" applyFont="1" applyFill="1" applyBorder="1" applyAlignment="1">
      <x:alignment wrapText="1"/>
    </x:xf>
    <x:xf numFmtId="0" fontId="24" fillId="0" borderId="68" xfId="0" applyNumberFormat="1" applyFont="1" applyFill="1" applyBorder="1" applyAlignment="1">
      <x:alignment wrapText="1"/>
    </x:xf>
    <x:xf numFmtId="0" fontId="24" fillId="0" borderId="0" xfId="0" applyNumberFormat="1" applyFont="1" applyFill="1" applyBorder="1" applyAlignment="1">
      <x:alignment wrapText="1"/>
    </x:xf>
    <x:xf numFmtId="0" fontId="24" fillId="0" borderId="69" xfId="0" applyNumberFormat="1" applyFont="1" applyFill="1" applyBorder="1" applyAlignment="1">
      <x:alignment wrapText="1"/>
    </x:xf>
    <x:xf numFmtId="0" fontId="24" fillId="0" borderId="70" xfId="0" applyNumberFormat="1" applyFont="1" applyFill="1" applyBorder="1" applyAlignment="1">
      <x:alignment wrapText="1"/>
    </x:xf>
    <x:xf numFmtId="0" fontId="24" fillId="0" borderId="71" xfId="0" applyNumberFormat="1" applyFont="1" applyFill="1" applyBorder="1" applyAlignment="1">
      <x:alignment wrapText="1"/>
    </x:xf>
    <x:xf numFmtId="0" fontId="24" fillId="0" borderId="72" xfId="0" applyNumberFormat="1" applyFont="1" applyFill="1" applyBorder="1" applyAlignment="1">
      <x:alignment wrapText="1"/>
    </x:xf>
    <x:xf numFmtId="0" fontId="24" fillId="0" borderId="65" xfId="0" applyNumberFormat="1" applyFont="1" applyFill="1" applyBorder="1" applyAlignment="1">
      <x:alignment horizontal="center" wrapText="1"/>
    </x:xf>
    <x:xf numFmtId="0" fontId="24" fillId="0" borderId="66" xfId="0" applyNumberFormat="1" applyFont="1" applyFill="1" applyBorder="1" applyAlignment="1">
      <x:alignment horizontal="center" wrapText="1"/>
    </x:xf>
    <x:xf numFmtId="0" fontId="24" fillId="0" borderId="67" xfId="0" applyNumberFormat="1" applyFont="1" applyFill="1" applyBorder="1" applyAlignment="1">
      <x:alignment horizontal="center" wrapText="1"/>
    </x:xf>
    <x:xf numFmtId="0" fontId="24" fillId="0" borderId="68" xfId="0" applyNumberFormat="1" applyFont="1" applyFill="1" applyBorder="1" applyAlignment="1">
      <x:alignment horizontal="center" wrapText="1"/>
    </x:xf>
    <x:xf numFmtId="0" fontId="24" fillId="0" borderId="0" xfId="0" applyNumberFormat="1" applyFont="1" applyFill="1" applyBorder="1" applyAlignment="1">
      <x:alignment horizontal="center" wrapText="1"/>
    </x:xf>
    <x:xf numFmtId="0" fontId="24" fillId="0" borderId="69" xfId="0" applyNumberFormat="1" applyFont="1" applyFill="1" applyBorder="1" applyAlignment="1">
      <x:alignment horizontal="center" wrapText="1"/>
    </x:xf>
    <x:xf numFmtId="0" fontId="24" fillId="0" borderId="70" xfId="0" applyNumberFormat="1" applyFont="1" applyFill="1" applyBorder="1" applyAlignment="1">
      <x:alignment horizontal="center" wrapText="1"/>
    </x:xf>
    <x:xf numFmtId="0" fontId="24" fillId="0" borderId="71" xfId="0" applyNumberFormat="1" applyFont="1" applyFill="1" applyBorder="1" applyAlignment="1">
      <x:alignment horizontal="center" wrapText="1"/>
    </x:xf>
    <x:xf numFmtId="0" fontId="24" fillId="0" borderId="72" xfId="0" applyNumberFormat="1" applyFont="1" applyFill="1" applyBorder="1" applyAlignment="1">
      <x:alignment horizontal="center" wrapText="1"/>
    </x:xf>
    <x:xf numFmtId="0" fontId="24" fillId="0" borderId="65" xfId="0" applyNumberFormat="1" applyFont="1" applyFill="1" applyBorder="1" applyAlignment="1">
      <x:alignment horizontal="center" vertical="center" wrapText="1"/>
    </x:xf>
    <x:xf numFmtId="0" fontId="24" fillId="0" borderId="66" xfId="0" applyNumberFormat="1" applyFont="1" applyFill="1" applyBorder="1" applyAlignment="1">
      <x:alignment horizontal="center" vertical="center" wrapText="1"/>
    </x:xf>
    <x:xf numFmtId="0" fontId="24" fillId="0" borderId="67" xfId="0" applyNumberFormat="1" applyFont="1" applyFill="1" applyBorder="1" applyAlignment="1">
      <x:alignment horizontal="center" vertical="center" wrapText="1"/>
    </x:xf>
    <x:xf numFmtId="0" fontId="24" fillId="0" borderId="68" xfId="0" applyNumberFormat="1" applyFont="1" applyFill="1" applyBorder="1" applyAlignment="1">
      <x:alignment horizontal="center" vertical="center" wrapText="1"/>
    </x:xf>
    <x:xf numFmtId="0" fontId="24" fillId="0" borderId="0" xfId="0" applyNumberFormat="1" applyFont="1" applyFill="1" applyBorder="1" applyAlignment="1">
      <x:alignment horizontal="center" vertical="center" wrapText="1"/>
    </x:xf>
    <x:xf numFmtId="0" fontId="24" fillId="0" borderId="69" xfId="0" applyNumberFormat="1" applyFont="1" applyFill="1" applyBorder="1" applyAlignment="1">
      <x:alignment horizontal="center" vertical="center" wrapText="1"/>
    </x:xf>
    <x:xf numFmtId="0" fontId="24" fillId="0" borderId="70" xfId="0" applyNumberFormat="1" applyFont="1" applyFill="1" applyBorder="1" applyAlignment="1">
      <x:alignment horizontal="center" vertical="center" wrapText="1"/>
    </x:xf>
    <x:xf numFmtId="0" fontId="24" fillId="0" borderId="71" xfId="0" applyNumberFormat="1" applyFont="1" applyFill="1" applyBorder="1" applyAlignment="1">
      <x:alignment horizontal="center" vertical="center" wrapText="1"/>
    </x:xf>
    <x:xf numFmtId="0" fontId="24" fillId="0" borderId="72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18" fillId="0" borderId="1" xfId="0" applyNumberFormat="1" applyFont="1" applyFill="1" applyBorder="1" applyAlignment="1">
      <x:alignment horizontal="center" wrapText="1"/>
    </x:xf>
    <x:xf numFmtId="0" fontId="18" fillId="0" borderId="1" xfId="0" applyNumberFormat="1" applyFont="1" applyFill="1" applyBorder="1" applyAlignment="1">
      <x:alignment horizontal="center" vertical="center" wrapText="1"/>
    </x:xf>
    <x:xf numFmtId="0" fontId="17" fillId="0" borderId="1" xfId="0" applyNumberFormat="1" applyFont="1" applyFill="1" applyBorder="1" applyAlignment="1">
      <x:alignment horizontal="left" wrapText="1"/>
    </x:xf>
    <x:xf numFmtId="0" fontId="17" fillId="0" borderId="1" xfId="0" applyNumberFormat="1" applyFont="1" applyFill="1" applyBorder="1" applyAlignment="1">
      <x:alignment horizontal="left" vertical="center" wrapText="1"/>
    </x:xf>
    <x:xf numFmtId="0" fontId="14" fillId="0" borderId="1" xfId="0" applyNumberFormat="1" applyFont="1" applyFill="1" applyBorder="1" applyAlignment="1">
      <x:alignment horizontal="left" wrapText="1"/>
    </x:xf>
    <x:xf numFmtId="0" fontId="14" fillId="0" borderId="1" xfId="0" applyNumberFormat="1" applyFont="1" applyFill="1" applyBorder="1" applyAlignment="1">
      <x:alignment horizontal="left" vertical="center" wrapText="1"/>
    </x:xf>
    <x:xf numFmtId="0" fontId="15" fillId="0" borderId="1" xfId="0" applyNumberFormat="1" applyFont="1" applyFill="1" applyBorder="1" applyAlignment="1">
      <x:alignment horizontal="center" wrapText="1"/>
    </x:xf>
    <x:xf numFmtId="0" fontId="15" fillId="0" borderId="1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/>
    <x:xf numFmtId="0" fontId="25" fillId="10" borderId="1" xfId="0" applyNumberFormat="1" applyFont="1" applyFill="1" applyBorder="1"/>
    <x:xf numFmtId="0" fontId="25" fillId="10" borderId="73" xfId="0" applyNumberFormat="1" applyFont="1" applyFill="1" applyBorder="1"/>
    <x:xf numFmtId="0" fontId="25" fillId="10" borderId="74" xfId="0" applyNumberFormat="1" applyFont="1" applyFill="1" applyBorder="1"/>
    <x:xf numFmtId="0" fontId="25" fillId="10" borderId="75" xfId="0" applyNumberFormat="1" applyFont="1" applyFill="1" applyBorder="1"/>
    <x:xf numFmtId="0" fontId="25" fillId="10" borderId="76" xfId="0" applyNumberFormat="1" applyFont="1" applyFill="1" applyBorder="1"/>
    <x:xf numFmtId="0" fontId="25" fillId="10" borderId="77" xfId="0" applyNumberFormat="1" applyFont="1" applyFill="1" applyBorder="1"/>
    <x:xf numFmtId="0" fontId="25" fillId="10" borderId="78" xfId="0" applyNumberFormat="1" applyFont="1" applyFill="1" applyBorder="1"/>
    <x:xf numFmtId="0" fontId="25" fillId="10" borderId="79" xfId="0" applyNumberFormat="1" applyFont="1" applyFill="1" applyBorder="1"/>
    <x:xf numFmtId="0" fontId="25" fillId="10" borderId="80" xfId="0" applyNumberFormat="1" applyFont="1" applyFill="1" applyBorder="1"/>
    <x:xf numFmtId="0" fontId="25" fillId="10" borderId="73" xfId="0" applyNumberFormat="1" applyFont="1" applyFill="1" applyBorder="1" applyAlignment="1">
      <x:alignment wrapText="1"/>
    </x:xf>
    <x:xf numFmtId="0" fontId="25" fillId="10" borderId="74" xfId="0" applyNumberFormat="1" applyFont="1" applyFill="1" applyBorder="1" applyAlignment="1">
      <x:alignment wrapText="1"/>
    </x:xf>
    <x:xf numFmtId="0" fontId="25" fillId="10" borderId="75" xfId="0" applyNumberFormat="1" applyFont="1" applyFill="1" applyBorder="1" applyAlignment="1">
      <x:alignment wrapText="1"/>
    </x:xf>
    <x:xf numFmtId="0" fontId="25" fillId="10" borderId="76" xfId="0" applyNumberFormat="1" applyFont="1" applyFill="1" applyBorder="1" applyAlignment="1">
      <x:alignment wrapText="1"/>
    </x:xf>
    <x:xf numFmtId="0" fontId="25" fillId="10" borderId="1" xfId="0" applyNumberFormat="1" applyFont="1" applyFill="1" applyBorder="1" applyAlignment="1">
      <x:alignment wrapText="1"/>
    </x:xf>
    <x:xf numFmtId="0" fontId="25" fillId="10" borderId="77" xfId="0" applyNumberFormat="1" applyFont="1" applyFill="1" applyBorder="1" applyAlignment="1">
      <x:alignment wrapText="1"/>
    </x:xf>
    <x:xf numFmtId="0" fontId="25" fillId="10" borderId="78" xfId="0" applyNumberFormat="1" applyFont="1" applyFill="1" applyBorder="1" applyAlignment="1">
      <x:alignment wrapText="1"/>
    </x:xf>
    <x:xf numFmtId="0" fontId="25" fillId="10" borderId="79" xfId="0" applyNumberFormat="1" applyFont="1" applyFill="1" applyBorder="1" applyAlignment="1">
      <x:alignment wrapText="1"/>
    </x:xf>
    <x:xf numFmtId="0" fontId="25" fillId="10" borderId="80" xfId="0" applyNumberFormat="1" applyFont="1" applyFill="1" applyBorder="1" applyAlignment="1">
      <x:alignment wrapText="1"/>
    </x:xf>
    <x:xf numFmtId="0" fontId="25" fillId="10" borderId="73" xfId="0" applyNumberFormat="1" applyFont="1" applyFill="1" applyBorder="1" applyAlignment="1">
      <x:alignment horizontal="left" wrapText="1"/>
    </x:xf>
    <x:xf numFmtId="0" fontId="25" fillId="10" borderId="74" xfId="0" applyNumberFormat="1" applyFont="1" applyFill="1" applyBorder="1" applyAlignment="1">
      <x:alignment horizontal="left" wrapText="1"/>
    </x:xf>
    <x:xf numFmtId="0" fontId="25" fillId="10" borderId="75" xfId="0" applyNumberFormat="1" applyFont="1" applyFill="1" applyBorder="1" applyAlignment="1">
      <x:alignment horizontal="left" wrapText="1"/>
    </x:xf>
    <x:xf numFmtId="0" fontId="25" fillId="10" borderId="76" xfId="0" applyNumberFormat="1" applyFont="1" applyFill="1" applyBorder="1" applyAlignment="1">
      <x:alignment horizontal="left" wrapText="1"/>
    </x:xf>
    <x:xf numFmtId="0" fontId="25" fillId="10" borderId="1" xfId="0" applyNumberFormat="1" applyFont="1" applyFill="1" applyBorder="1" applyAlignment="1">
      <x:alignment horizontal="left" wrapText="1"/>
    </x:xf>
    <x:xf numFmtId="0" fontId="25" fillId="10" borderId="77" xfId="0" applyNumberFormat="1" applyFont="1" applyFill="1" applyBorder="1" applyAlignment="1">
      <x:alignment horizontal="left" wrapText="1"/>
    </x:xf>
    <x:xf numFmtId="0" fontId="25" fillId="10" borderId="78" xfId="0" applyNumberFormat="1" applyFont="1" applyFill="1" applyBorder="1" applyAlignment="1">
      <x:alignment horizontal="left" wrapText="1"/>
    </x:xf>
    <x:xf numFmtId="0" fontId="25" fillId="10" borderId="79" xfId="0" applyNumberFormat="1" applyFont="1" applyFill="1" applyBorder="1" applyAlignment="1">
      <x:alignment horizontal="left" wrapText="1"/>
    </x:xf>
    <x:xf numFmtId="0" fontId="25" fillId="10" borderId="80" xfId="0" applyNumberFormat="1" applyFont="1" applyFill="1" applyBorder="1" applyAlignment="1">
      <x:alignment horizontal="left" wrapText="1"/>
    </x:xf>
    <x:xf numFmtId="0" fontId="25" fillId="10" borderId="73" xfId="0" applyNumberFormat="1" applyFont="1" applyFill="1" applyBorder="1" applyAlignment="1">
      <x:alignment horizontal="left" vertical="center" wrapText="1"/>
    </x:xf>
    <x:xf numFmtId="0" fontId="25" fillId="10" borderId="74" xfId="0" applyNumberFormat="1" applyFont="1" applyFill="1" applyBorder="1" applyAlignment="1">
      <x:alignment horizontal="left" vertical="center" wrapText="1"/>
    </x:xf>
    <x:xf numFmtId="0" fontId="25" fillId="10" borderId="75" xfId="0" applyNumberFormat="1" applyFont="1" applyFill="1" applyBorder="1" applyAlignment="1">
      <x:alignment horizontal="left" vertical="center" wrapText="1"/>
    </x:xf>
    <x:xf numFmtId="0" fontId="25" fillId="10" borderId="76" xfId="0" applyNumberFormat="1" applyFont="1" applyFill="1" applyBorder="1" applyAlignment="1">
      <x:alignment horizontal="left" vertical="center" wrapText="1"/>
    </x:xf>
    <x:xf numFmtId="0" fontId="25" fillId="10" borderId="1" xfId="0" applyNumberFormat="1" applyFont="1" applyFill="1" applyBorder="1" applyAlignment="1">
      <x:alignment horizontal="left" vertical="center" wrapText="1"/>
    </x:xf>
    <x:xf numFmtId="0" fontId="25" fillId="10" borderId="77" xfId="0" applyNumberFormat="1" applyFont="1" applyFill="1" applyBorder="1" applyAlignment="1">
      <x:alignment horizontal="left" vertical="center" wrapText="1"/>
    </x:xf>
    <x:xf numFmtId="0" fontId="25" fillId="10" borderId="78" xfId="0" applyNumberFormat="1" applyFont="1" applyFill="1" applyBorder="1" applyAlignment="1">
      <x:alignment horizontal="left" vertical="center" wrapText="1"/>
    </x:xf>
    <x:xf numFmtId="0" fontId="25" fillId="10" borderId="79" xfId="0" applyNumberFormat="1" applyFont="1" applyFill="1" applyBorder="1" applyAlignment="1">
      <x:alignment horizontal="left" vertical="center" wrapText="1"/>
    </x:xf>
    <x:xf numFmtId="0" fontId="25" fillId="10" borderId="80" xfId="0" applyNumberFormat="1" applyFont="1" applyFill="1" applyBorder="1" applyAlignment="1">
      <x:alignment horizontal="left" vertical="center" wrapText="1"/>
    </x:xf>
    <x:xf numFmtId="0" fontId="12" fillId="4" borderId="1" xfId="0" applyNumberFormat="1" applyFont="1" applyFill="1" applyBorder="1"/>
    <x:xf numFmtId="0" fontId="12" fillId="4" borderId="81" xfId="0" applyNumberFormat="1" applyFont="1" applyFill="1" applyBorder="1"/>
    <x:xf numFmtId="0" fontId="12" fillId="4" borderId="82" xfId="0" applyNumberFormat="1" applyFont="1" applyFill="1" applyBorder="1"/>
    <x:xf numFmtId="0" fontId="12" fillId="4" borderId="83" xfId="0" applyNumberFormat="1" applyFont="1" applyFill="1" applyBorder="1"/>
    <x:xf numFmtId="0" fontId="12" fillId="4" borderId="84" xfId="0" applyNumberFormat="1" applyFont="1" applyFill="1" applyBorder="1"/>
    <x:xf numFmtId="0" fontId="12" fillId="4" borderId="85" xfId="0" applyNumberFormat="1" applyFont="1" applyFill="1" applyBorder="1"/>
    <x:xf numFmtId="0" fontId="12" fillId="4" borderId="86" xfId="0" applyNumberFormat="1" applyFont="1" applyFill="1" applyBorder="1"/>
    <x:xf numFmtId="0" fontId="12" fillId="4" borderId="81" xfId="0" applyNumberFormat="1" applyFont="1" applyFill="1" applyBorder="1" applyAlignment="1">
      <x:alignment wrapText="1"/>
    </x:xf>
    <x:xf numFmtId="0" fontId="12" fillId="4" borderId="82" xfId="0" applyNumberFormat="1" applyFont="1" applyFill="1" applyBorder="1" applyAlignment="1">
      <x:alignment wrapText="1"/>
    </x:xf>
    <x:xf numFmtId="0" fontId="12" fillId="4" borderId="83" xfId="0" applyNumberFormat="1" applyFont="1" applyFill="1" applyBorder="1" applyAlignment="1">
      <x:alignment wrapText="1"/>
    </x:xf>
    <x:xf numFmtId="0" fontId="12" fillId="4" borderId="84" xfId="0" applyNumberFormat="1" applyFont="1" applyFill="1" applyBorder="1" applyAlignment="1">
      <x:alignment wrapText="1"/>
    </x:xf>
    <x:xf numFmtId="0" fontId="12" fillId="4" borderId="85" xfId="0" applyNumberFormat="1" applyFont="1" applyFill="1" applyBorder="1" applyAlignment="1">
      <x:alignment wrapText="1"/>
    </x:xf>
    <x:xf numFmtId="0" fontId="12" fillId="4" borderId="86" xfId="0" applyNumberFormat="1" applyFont="1" applyFill="1" applyBorder="1" applyAlignment="1">
      <x:alignment wrapText="1"/>
    </x:xf>
    <x:xf numFmtId="0" fontId="12" fillId="4" borderId="81" xfId="0" applyNumberFormat="1" applyFont="1" applyFill="1" applyBorder="1" applyAlignment="1">
      <x:alignment horizontal="center" wrapText="1"/>
    </x:xf>
    <x:xf numFmtId="0" fontId="12" fillId="4" borderId="82" xfId="0" applyNumberFormat="1" applyFont="1" applyFill="1" applyBorder="1" applyAlignment="1">
      <x:alignment horizontal="center" wrapText="1"/>
    </x:xf>
    <x:xf numFmtId="0" fontId="12" fillId="4" borderId="83" xfId="0" applyNumberFormat="1" applyFont="1" applyFill="1" applyBorder="1" applyAlignment="1">
      <x:alignment horizontal="center" wrapText="1"/>
    </x:xf>
    <x:xf numFmtId="0" fontId="12" fillId="4" borderId="84" xfId="0" applyNumberFormat="1" applyFont="1" applyFill="1" applyBorder="1" applyAlignment="1">
      <x:alignment horizontal="center" wrapText="1"/>
    </x:xf>
    <x:xf numFmtId="0" fontId="12" fillId="4" borderId="85" xfId="0" applyNumberFormat="1" applyFont="1" applyFill="1" applyBorder="1" applyAlignment="1">
      <x:alignment horizontal="center" wrapText="1"/>
    </x:xf>
    <x:xf numFmtId="0" fontId="12" fillId="4" borderId="86" xfId="0" applyNumberFormat="1" applyFont="1" applyFill="1" applyBorder="1" applyAlignment="1">
      <x:alignment horizontal="center" wrapText="1"/>
    </x:xf>
    <x:xf numFmtId="0" fontId="12" fillId="4" borderId="81" xfId="0" applyNumberFormat="1" applyFont="1" applyFill="1" applyBorder="1" applyAlignment="1">
      <x:alignment horizontal="center" vertical="center" wrapText="1"/>
    </x:xf>
    <x:xf numFmtId="0" fontId="12" fillId="4" borderId="82" xfId="0" applyNumberFormat="1" applyFont="1" applyFill="1" applyBorder="1" applyAlignment="1">
      <x:alignment horizontal="center" vertical="center" wrapText="1"/>
    </x:xf>
    <x:xf numFmtId="0" fontId="12" fillId="4" borderId="83" xfId="0" applyNumberFormat="1" applyFont="1" applyFill="1" applyBorder="1" applyAlignment="1">
      <x:alignment horizontal="center" vertical="center" wrapText="1"/>
    </x:xf>
    <x:xf numFmtId="0" fontId="12" fillId="4" borderId="84" xfId="0" applyNumberFormat="1" applyFont="1" applyFill="1" applyBorder="1" applyAlignment="1">
      <x:alignment horizontal="center" vertical="center" wrapText="1"/>
    </x:xf>
    <x:xf numFmtId="0" fontId="12" fillId="4" borderId="85" xfId="0" applyNumberFormat="1" applyFont="1" applyFill="1" applyBorder="1" applyAlignment="1">
      <x:alignment horizontal="center" vertical="center" wrapText="1"/>
    </x:xf>
    <x:xf numFmtId="0" fontId="12" fillId="4" borderId="86" xfId="0" applyNumberFormat="1" applyFont="1" applyFill="1" applyBorder="1" applyAlignment="1">
      <x:alignment horizontal="center" vertical="center" wrapText="1"/>
    </x:xf>
    <x:xf numFmtId="0" fontId="26" fillId="0" borderId="1" xfId="0" applyNumberFormat="1" applyFont="1" applyFill="1" applyBorder="1"/>
    <x:xf numFmtId="0" fontId="26" fillId="0" borderId="1" xfId="0" applyNumberFormat="1" applyFont="1" applyFill="1" applyBorder="1" applyAlignment="1">
      <x:alignment wrapText="1"/>
    </x:xf>
    <x:xf numFmtId="0" fontId="26" fillId="0" borderId="1" xfId="0" applyNumberFormat="1" applyFont="1" applyFill="1" applyBorder="1" applyAlignment="1">
      <x:alignment horizontal="center" wrapText="1"/>
    </x:xf>
    <x:xf numFmtId="0" fontId="26" fillId="0" borderId="1" xfId="0" applyNumberFormat="1" applyFont="1" applyFill="1" applyBorder="1" applyAlignment="1">
      <x:alignment horizontal="center" vertical="center" wrapText="1"/>
    </x:xf>
    <x:xf numFmtId="0" fontId="27" fillId="10" borderId="1" xfId="0" applyNumberFormat="1" applyFont="1" applyFill="1" applyBorder="1"/>
    <x:xf numFmtId="0" fontId="27" fillId="10" borderId="1" xfId="0" applyNumberFormat="1" applyFont="1" applyFill="1" applyBorder="1" applyAlignment="1">
      <x:alignment wrapText="1"/>
    </x:xf>
    <x:xf numFmtId="0" fontId="27" fillId="10" borderId="1" xfId="0" applyNumberFormat="1" applyFont="1" applyFill="1" applyBorder="1" applyAlignment="1">
      <x:alignment horizontal="center" wrapText="1"/>
    </x:xf>
    <x:xf numFmtId="0" fontId="27" fillId="10" borderId="1" xfId="0" applyNumberFormat="1" applyFont="1" applyFill="1" applyBorder="1" applyAlignment="1">
      <x:alignment horizontal="center" vertical="center" wrapText="1"/>
    </x:xf>
    <x:xf numFmtId="0" fontId="28" fillId="0" borderId="1" xfId="0" applyNumberFormat="1" applyFont="1" applyFill="1" applyBorder="1"/>
    <x:xf numFmtId="0" fontId="28" fillId="0" borderId="1" xfId="0" applyNumberFormat="1" applyFont="1" applyFill="1" applyBorder="1" applyAlignment="1">
      <x:alignment wrapText="1"/>
    </x:xf>
    <x:xf numFmtId="0" fontId="28" fillId="0" borderId="1" xfId="0" applyNumberFormat="1" applyFont="1" applyFill="1" applyBorder="1" applyAlignment="1">
      <x:alignment horizontal="center" wrapText="1"/>
    </x:xf>
    <x:xf numFmtId="0" fontId="28" fillId="0" borderId="1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 applyAlignment="1">
      <x:alignment wrapText="1"/>
    </x:xf>
    <x:xf numFmtId="0" fontId="12" fillId="4" borderId="1" xfId="0" applyNumberFormat="1" applyFont="1" applyFill="1" applyBorder="1" applyAlignment="1">
      <x:alignment horizont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0" fontId="29" fillId="0" borderId="1" xfId="0" applyNumberFormat="1" applyFont="1" applyFill="1" applyBorder="1"/>
    <x:xf numFmtId="0" fontId="29" fillId="0" borderId="1" xfId="0" applyNumberFormat="1" applyFont="1" applyFill="1" applyBorder="1" applyAlignment="1">
      <x:alignment wrapText="1"/>
    </x:xf>
    <x:xf numFmtId="0" fontId="29" fillId="0" borderId="1" xfId="0" applyNumberFormat="1" applyFont="1" applyFill="1" applyBorder="1" applyAlignment="1">
      <x:alignment horizontal="left" wrapText="1"/>
    </x:xf>
    <x:xf numFmtId="0" fontId="29" fillId="0" borderId="1" xfId="0" applyNumberFormat="1" applyFont="1" applyFill="1" applyBorder="1" applyAlignment="1">
      <x:alignment horizontal="left" vertical="center" wrapText="1"/>
    </x:xf>
    <x:xf numFmtId="0" fontId="1" fillId="9" borderId="1" xfId="0" applyNumberFormat="1" applyFont="1" applyFill="1" applyBorder="1"/>
    <x:xf numFmtId="0" fontId="30" fillId="9" borderId="1" xfId="0" applyNumberFormat="1" applyFont="1" applyFill="1" applyBorder="1"/>
    <x:xf numFmtId="0" fontId="30" fillId="9" borderId="87" xfId="0" applyNumberFormat="1" applyFont="1" applyFill="1" applyBorder="1"/>
    <x:xf numFmtId="0" fontId="30" fillId="9" borderId="88" xfId="0" applyNumberFormat="1" applyFont="1" applyFill="1" applyBorder="1"/>
    <x:xf numFmtId="0" fontId="30" fillId="9" borderId="89" xfId="0" applyNumberFormat="1" applyFont="1" applyFill="1" applyBorder="1"/>
    <x:xf numFmtId="0" fontId="30" fillId="9" borderId="90" xfId="0" applyNumberFormat="1" applyFont="1" applyFill="1" applyBorder="1"/>
    <x:xf numFmtId="0" fontId="30" fillId="9" borderId="91" xfId="0" applyNumberFormat="1" applyFont="1" applyFill="1" applyBorder="1"/>
    <x:xf numFmtId="0" fontId="30" fillId="9" borderId="92" xfId="0" applyNumberFormat="1" applyFont="1" applyFill="1" applyBorder="1"/>
    <x:xf numFmtId="0" fontId="30" fillId="9" borderId="93" xfId="0" applyNumberFormat="1" applyFont="1" applyFill="1" applyBorder="1"/>
    <x:xf numFmtId="0" fontId="30" fillId="9" borderId="94" xfId="0" applyNumberFormat="1" applyFont="1" applyFill="1" applyBorder="1"/>
    <x:xf numFmtId="0" fontId="30" fillId="9" borderId="87" xfId="0" applyNumberFormat="1" applyFont="1" applyFill="1" applyBorder="1" applyAlignment="1">
      <x:alignment wrapText="1"/>
    </x:xf>
    <x:xf numFmtId="0" fontId="30" fillId="9" borderId="88" xfId="0" applyNumberFormat="1" applyFont="1" applyFill="1" applyBorder="1" applyAlignment="1">
      <x:alignment wrapText="1"/>
    </x:xf>
    <x:xf numFmtId="0" fontId="30" fillId="9" borderId="89" xfId="0" applyNumberFormat="1" applyFont="1" applyFill="1" applyBorder="1" applyAlignment="1">
      <x:alignment wrapText="1"/>
    </x:xf>
    <x:xf numFmtId="0" fontId="30" fillId="9" borderId="90" xfId="0" applyNumberFormat="1" applyFont="1" applyFill="1" applyBorder="1" applyAlignment="1">
      <x:alignment wrapText="1"/>
    </x:xf>
    <x:xf numFmtId="0" fontId="30" fillId="9" borderId="1" xfId="0" applyNumberFormat="1" applyFont="1" applyFill="1" applyBorder="1" applyAlignment="1">
      <x:alignment wrapText="1"/>
    </x:xf>
    <x:xf numFmtId="0" fontId="30" fillId="9" borderId="91" xfId="0" applyNumberFormat="1" applyFont="1" applyFill="1" applyBorder="1" applyAlignment="1">
      <x:alignment wrapText="1"/>
    </x:xf>
    <x:xf numFmtId="0" fontId="30" fillId="9" borderId="92" xfId="0" applyNumberFormat="1" applyFont="1" applyFill="1" applyBorder="1" applyAlignment="1">
      <x:alignment wrapText="1"/>
    </x:xf>
    <x:xf numFmtId="0" fontId="30" fillId="9" borderId="93" xfId="0" applyNumberFormat="1" applyFont="1" applyFill="1" applyBorder="1" applyAlignment="1">
      <x:alignment wrapText="1"/>
    </x:xf>
    <x:xf numFmtId="0" fontId="30" fillId="9" borderId="94" xfId="0" applyNumberFormat="1" applyFont="1" applyFill="1" applyBorder="1" applyAlignment="1">
      <x:alignment wrapText="1"/>
    </x:xf>
    <x:xf numFmtId="0" fontId="30" fillId="9" borderId="87" xfId="0" applyNumberFormat="1" applyFont="1" applyFill="1" applyBorder="1" applyAlignment="1">
      <x:alignment horizontal="center" wrapText="1"/>
    </x:xf>
    <x:xf numFmtId="0" fontId="30" fillId="9" borderId="88" xfId="0" applyNumberFormat="1" applyFont="1" applyFill="1" applyBorder="1" applyAlignment="1">
      <x:alignment horizontal="center" wrapText="1"/>
    </x:xf>
    <x:xf numFmtId="0" fontId="30" fillId="9" borderId="89" xfId="0" applyNumberFormat="1" applyFont="1" applyFill="1" applyBorder="1" applyAlignment="1">
      <x:alignment horizontal="center" wrapText="1"/>
    </x:xf>
    <x:xf numFmtId="0" fontId="30" fillId="9" borderId="90" xfId="0" applyNumberFormat="1" applyFont="1" applyFill="1" applyBorder="1" applyAlignment="1">
      <x:alignment horizontal="center" wrapText="1"/>
    </x:xf>
    <x:xf numFmtId="0" fontId="30" fillId="9" borderId="1" xfId="0" applyNumberFormat="1" applyFont="1" applyFill="1" applyBorder="1" applyAlignment="1">
      <x:alignment horizontal="center" wrapText="1"/>
    </x:xf>
    <x:xf numFmtId="0" fontId="30" fillId="9" borderId="91" xfId="0" applyNumberFormat="1" applyFont="1" applyFill="1" applyBorder="1" applyAlignment="1">
      <x:alignment horizontal="center" wrapText="1"/>
    </x:xf>
    <x:xf numFmtId="0" fontId="30" fillId="9" borderId="92" xfId="0" applyNumberFormat="1" applyFont="1" applyFill="1" applyBorder="1" applyAlignment="1">
      <x:alignment horizontal="center" wrapText="1"/>
    </x:xf>
    <x:xf numFmtId="0" fontId="30" fillId="9" borderId="93" xfId="0" applyNumberFormat="1" applyFont="1" applyFill="1" applyBorder="1" applyAlignment="1">
      <x:alignment horizontal="center" wrapText="1"/>
    </x:xf>
    <x:xf numFmtId="0" fontId="30" fillId="9" borderId="94" xfId="0" applyNumberFormat="1" applyFont="1" applyFill="1" applyBorder="1" applyAlignment="1">
      <x:alignment horizontal="center" wrapText="1"/>
    </x:xf>
    <x:xf numFmtId="0" fontId="30" fillId="9" borderId="87" xfId="0" applyNumberFormat="1" applyFont="1" applyFill="1" applyBorder="1" applyAlignment="1">
      <x:alignment horizontal="center" vertical="center" wrapText="1"/>
    </x:xf>
    <x:xf numFmtId="0" fontId="30" fillId="9" borderId="88" xfId="0" applyNumberFormat="1" applyFont="1" applyFill="1" applyBorder="1" applyAlignment="1">
      <x:alignment horizontal="center" vertical="center" wrapText="1"/>
    </x:xf>
    <x:xf numFmtId="0" fontId="30" fillId="9" borderId="89" xfId="0" applyNumberFormat="1" applyFont="1" applyFill="1" applyBorder="1" applyAlignment="1">
      <x:alignment horizontal="center" vertical="center" wrapText="1"/>
    </x:xf>
    <x:xf numFmtId="0" fontId="30" fillId="9" borderId="90" xfId="0" applyNumberFormat="1" applyFont="1" applyFill="1" applyBorder="1" applyAlignment="1">
      <x:alignment horizontal="center" vertical="center" wrapText="1"/>
    </x:xf>
    <x:xf numFmtId="0" fontId="30" fillId="9" borderId="1" xfId="0" applyNumberFormat="1" applyFont="1" applyFill="1" applyBorder="1" applyAlignment="1">
      <x:alignment horizontal="center" vertical="center" wrapText="1"/>
    </x:xf>
    <x:xf numFmtId="0" fontId="30" fillId="9" borderId="91" xfId="0" applyNumberFormat="1" applyFont="1" applyFill="1" applyBorder="1" applyAlignment="1">
      <x:alignment horizontal="center" vertical="center" wrapText="1"/>
    </x:xf>
    <x:xf numFmtId="0" fontId="30" fillId="9" borderId="92" xfId="0" applyNumberFormat="1" applyFont="1" applyFill="1" applyBorder="1" applyAlignment="1">
      <x:alignment horizontal="center" vertical="center" wrapText="1"/>
    </x:xf>
    <x:xf numFmtId="0" fontId="30" fillId="9" borderId="93" xfId="0" applyNumberFormat="1" applyFont="1" applyFill="1" applyBorder="1" applyAlignment="1">
      <x:alignment horizontal="center" vertical="center" wrapText="1"/>
    </x:xf>
    <x:xf numFmtId="0" fontId="30" fillId="9" borderId="94" xfId="0" applyNumberFormat="1" applyFont="1" applyFill="1" applyBorder="1" applyAlignment="1">
      <x:alignment horizontal="center" vertical="center" wrapText="1"/>
    </x:xf>
    <x:xf numFmtId="0" fontId="31" fillId="0" borderId="1" xfId="0" applyNumberFormat="1" applyFont="1" applyFill="1" applyBorder="1"/>
    <x:xf numFmtId="0" fontId="31" fillId="0" borderId="1" xfId="0" applyNumberFormat="1" applyFont="1" applyFill="1" applyBorder="1" applyAlignment="1">
      <x:alignment wrapText="1"/>
    </x:xf>
    <x:xf numFmtId="0" fontId="31" fillId="0" borderId="1" xfId="0" applyNumberFormat="1" applyFont="1" applyFill="1" applyBorder="1" applyAlignment="1">
      <x:alignment horizontal="left" wrapText="1"/>
    </x:xf>
    <x:xf numFmtId="0" fontId="31" fillId="0" borderId="1" xfId="0" applyNumberFormat="1" applyFont="1" applyFill="1" applyBorder="1" applyAlignment="1">
      <x:alignment horizontal="left" vertical="center" wrapText="1"/>
    </x:xf>
    <x:xf numFmtId="0" fontId="32" fillId="7" borderId="1" xfId="0" applyNumberFormat="1" applyFont="1" applyFill="1" applyBorder="1"/>
    <x:xf numFmtId="0" fontId="32" fillId="7" borderId="95" xfId="0" applyNumberFormat="1" applyFont="1" applyFill="1" applyBorder="1"/>
    <x:xf numFmtId="0" fontId="32" fillId="7" borderId="96" xfId="0" applyNumberFormat="1" applyFont="1" applyFill="1" applyBorder="1"/>
    <x:xf numFmtId="0" fontId="32" fillId="7" borderId="97" xfId="0" applyNumberFormat="1" applyFont="1" applyFill="1" applyBorder="1"/>
    <x:xf numFmtId="0" fontId="32" fillId="7" borderId="98" xfId="0" applyNumberFormat="1" applyFont="1" applyFill="1" applyBorder="1"/>
    <x:xf numFmtId="0" fontId="32" fillId="7" borderId="99" xfId="0" applyNumberFormat="1" applyFont="1" applyFill="1" applyBorder="1"/>
    <x:xf numFmtId="0" fontId="32" fillId="7" borderId="100" xfId="0" applyNumberFormat="1" applyFont="1" applyFill="1" applyBorder="1"/>
    <x:xf numFmtId="0" fontId="32" fillId="7" borderId="101" xfId="0" applyNumberFormat="1" applyFont="1" applyFill="1" applyBorder="1"/>
    <x:xf numFmtId="0" fontId="32" fillId="7" borderId="102" xfId="0" applyNumberFormat="1" applyFont="1" applyFill="1" applyBorder="1"/>
    <x:xf numFmtId="0" fontId="32" fillId="7" borderId="95" xfId="0" applyNumberFormat="1" applyFont="1" applyFill="1" applyBorder="1" applyAlignment="1">
      <x:alignment wrapText="1"/>
    </x:xf>
    <x:xf numFmtId="0" fontId="32" fillId="7" borderId="96" xfId="0" applyNumberFormat="1" applyFont="1" applyFill="1" applyBorder="1" applyAlignment="1">
      <x:alignment wrapText="1"/>
    </x:xf>
    <x:xf numFmtId="0" fontId="32" fillId="7" borderId="97" xfId="0" applyNumberFormat="1" applyFont="1" applyFill="1" applyBorder="1" applyAlignment="1">
      <x:alignment wrapText="1"/>
    </x:xf>
    <x:xf numFmtId="0" fontId="32" fillId="7" borderId="98" xfId="0" applyNumberFormat="1" applyFont="1" applyFill="1" applyBorder="1" applyAlignment="1">
      <x:alignment wrapText="1"/>
    </x:xf>
    <x:xf numFmtId="0" fontId="32" fillId="7" borderId="1" xfId="0" applyNumberFormat="1" applyFont="1" applyFill="1" applyBorder="1" applyAlignment="1">
      <x:alignment wrapText="1"/>
    </x:xf>
    <x:xf numFmtId="0" fontId="32" fillId="7" borderId="99" xfId="0" applyNumberFormat="1" applyFont="1" applyFill="1" applyBorder="1" applyAlignment="1">
      <x:alignment wrapText="1"/>
    </x:xf>
    <x:xf numFmtId="0" fontId="32" fillId="7" borderId="100" xfId="0" applyNumberFormat="1" applyFont="1" applyFill="1" applyBorder="1" applyAlignment="1">
      <x:alignment wrapText="1"/>
    </x:xf>
    <x:xf numFmtId="0" fontId="32" fillId="7" borderId="101" xfId="0" applyNumberFormat="1" applyFont="1" applyFill="1" applyBorder="1" applyAlignment="1">
      <x:alignment wrapText="1"/>
    </x:xf>
    <x:xf numFmtId="0" fontId="32" fillId="7" borderId="102" xfId="0" applyNumberFormat="1" applyFont="1" applyFill="1" applyBorder="1" applyAlignment="1">
      <x:alignment wrapText="1"/>
    </x:xf>
    <x:xf numFmtId="0" fontId="32" fillId="7" borderId="95" xfId="0" applyNumberFormat="1" applyFont="1" applyFill="1" applyBorder="1" applyAlignment="1">
      <x:alignment horizontal="center" wrapText="1"/>
    </x:xf>
    <x:xf numFmtId="0" fontId="32" fillId="7" borderId="96" xfId="0" applyNumberFormat="1" applyFont="1" applyFill="1" applyBorder="1" applyAlignment="1">
      <x:alignment horizontal="center" wrapText="1"/>
    </x:xf>
    <x:xf numFmtId="0" fontId="32" fillId="7" borderId="97" xfId="0" applyNumberFormat="1" applyFont="1" applyFill="1" applyBorder="1" applyAlignment="1">
      <x:alignment horizontal="center" wrapText="1"/>
    </x:xf>
    <x:xf numFmtId="0" fontId="32" fillId="7" borderId="98" xfId="0" applyNumberFormat="1" applyFont="1" applyFill="1" applyBorder="1" applyAlignment="1">
      <x:alignment horizontal="center" wrapText="1"/>
    </x:xf>
    <x:xf numFmtId="0" fontId="32" fillId="7" borderId="1" xfId="0" applyNumberFormat="1" applyFont="1" applyFill="1" applyBorder="1" applyAlignment="1">
      <x:alignment horizontal="center" wrapText="1"/>
    </x:xf>
    <x:xf numFmtId="0" fontId="32" fillId="7" borderId="99" xfId="0" applyNumberFormat="1" applyFont="1" applyFill="1" applyBorder="1" applyAlignment="1">
      <x:alignment horizontal="center" wrapText="1"/>
    </x:xf>
    <x:xf numFmtId="0" fontId="32" fillId="7" borderId="100" xfId="0" applyNumberFormat="1" applyFont="1" applyFill="1" applyBorder="1" applyAlignment="1">
      <x:alignment horizontal="center" wrapText="1"/>
    </x:xf>
    <x:xf numFmtId="0" fontId="32" fillId="7" borderId="101" xfId="0" applyNumberFormat="1" applyFont="1" applyFill="1" applyBorder="1" applyAlignment="1">
      <x:alignment horizontal="center" wrapText="1"/>
    </x:xf>
    <x:xf numFmtId="0" fontId="32" fillId="7" borderId="102" xfId="0" applyNumberFormat="1" applyFont="1" applyFill="1" applyBorder="1" applyAlignment="1">
      <x:alignment horizontal="center" wrapText="1"/>
    </x:xf>
    <x:xf numFmtId="0" fontId="32" fillId="7" borderId="95" xfId="0" applyNumberFormat="1" applyFont="1" applyFill="1" applyBorder="1" applyAlignment="1">
      <x:alignment horizontal="center" vertical="center" wrapText="1"/>
    </x:xf>
    <x:xf numFmtId="0" fontId="32" fillId="7" borderId="96" xfId="0" applyNumberFormat="1" applyFont="1" applyFill="1" applyBorder="1" applyAlignment="1">
      <x:alignment horizontal="center" vertical="center" wrapText="1"/>
    </x:xf>
    <x:xf numFmtId="0" fontId="32" fillId="7" borderId="97" xfId="0" applyNumberFormat="1" applyFont="1" applyFill="1" applyBorder="1" applyAlignment="1">
      <x:alignment horizontal="center" vertical="center" wrapText="1"/>
    </x:xf>
    <x:xf numFmtId="0" fontId="32" fillId="7" borderId="98" xfId="0" applyNumberFormat="1" applyFont="1" applyFill="1" applyBorder="1" applyAlignment="1">
      <x:alignment horizontal="center" vertical="center" wrapText="1"/>
    </x:xf>
    <x:xf numFmtId="0" fontId="32" fillId="7" borderId="1" xfId="0" applyNumberFormat="1" applyFont="1" applyFill="1" applyBorder="1" applyAlignment="1">
      <x:alignment horizontal="center" vertical="center" wrapText="1"/>
    </x:xf>
    <x:xf numFmtId="0" fontId="32" fillId="7" borderId="99" xfId="0" applyNumberFormat="1" applyFont="1" applyFill="1" applyBorder="1" applyAlignment="1">
      <x:alignment horizontal="center" vertical="center" wrapText="1"/>
    </x:xf>
    <x:xf numFmtId="0" fontId="32" fillId="7" borderId="100" xfId="0" applyNumberFormat="1" applyFont="1" applyFill="1" applyBorder="1" applyAlignment="1">
      <x:alignment horizontal="center" vertical="center" wrapText="1"/>
    </x:xf>
    <x:xf numFmtId="0" fontId="32" fillId="7" borderId="101" xfId="0" applyNumberFormat="1" applyFont="1" applyFill="1" applyBorder="1" applyAlignment="1">
      <x:alignment horizontal="center" vertical="center" wrapText="1"/>
    </x:xf>
    <x:xf numFmtId="0" fontId="32" fillId="7" borderId="102" xfId="0" applyNumberFormat="1" applyFont="1" applyFill="1" applyBorder="1" applyAlignment="1">
      <x:alignment horizontal="center" vertical="center" wrapText="1"/>
    </x:xf>
    <x:xf numFmtId="0" fontId="1" fillId="11" borderId="1" xfId="0" applyNumberFormat="1" applyFont="1" applyFill="1" applyBorder="1"/>
    <x:xf numFmtId="0" fontId="33" fillId="11" borderId="1" xfId="0" applyNumberFormat="1" applyFont="1" applyFill="1" applyBorder="1"/>
    <x:xf numFmtId="0" fontId="33" fillId="11" borderId="103" xfId="0" applyNumberFormat="1" applyFont="1" applyFill="1" applyBorder="1"/>
    <x:xf numFmtId="0" fontId="33" fillId="11" borderId="104" xfId="0" applyNumberFormat="1" applyFont="1" applyFill="1" applyBorder="1"/>
    <x:xf numFmtId="0" fontId="33" fillId="11" borderId="105" xfId="0" applyNumberFormat="1" applyFont="1" applyFill="1" applyBorder="1"/>
    <x:xf numFmtId="0" fontId="33" fillId="11" borderId="106" xfId="0" applyNumberFormat="1" applyFont="1" applyFill="1" applyBorder="1"/>
    <x:xf numFmtId="0" fontId="33" fillId="11" borderId="107" xfId="0" applyNumberFormat="1" applyFont="1" applyFill="1" applyBorder="1"/>
    <x:xf numFmtId="0" fontId="33" fillId="11" borderId="108" xfId="0" applyNumberFormat="1" applyFont="1" applyFill="1" applyBorder="1"/>
    <x:xf numFmtId="0" fontId="33" fillId="11" borderId="109" xfId="0" applyNumberFormat="1" applyFont="1" applyFill="1" applyBorder="1"/>
    <x:xf numFmtId="0" fontId="33" fillId="11" borderId="110" xfId="0" applyNumberFormat="1" applyFont="1" applyFill="1" applyBorder="1"/>
    <x:xf numFmtId="0" fontId="33" fillId="11" borderId="103" xfId="0" applyNumberFormat="1" applyFont="1" applyFill="1" applyBorder="1" applyAlignment="1">
      <x:alignment wrapText="1"/>
    </x:xf>
    <x:xf numFmtId="0" fontId="33" fillId="11" borderId="104" xfId="0" applyNumberFormat="1" applyFont="1" applyFill="1" applyBorder="1" applyAlignment="1">
      <x:alignment wrapText="1"/>
    </x:xf>
    <x:xf numFmtId="0" fontId="33" fillId="11" borderId="105" xfId="0" applyNumberFormat="1" applyFont="1" applyFill="1" applyBorder="1" applyAlignment="1">
      <x:alignment wrapText="1"/>
    </x:xf>
    <x:xf numFmtId="0" fontId="33" fillId="11" borderId="106" xfId="0" applyNumberFormat="1" applyFont="1" applyFill="1" applyBorder="1" applyAlignment="1">
      <x:alignment wrapText="1"/>
    </x:xf>
    <x:xf numFmtId="0" fontId="33" fillId="11" borderId="1" xfId="0" applyNumberFormat="1" applyFont="1" applyFill="1" applyBorder="1" applyAlignment="1">
      <x:alignment wrapText="1"/>
    </x:xf>
    <x:xf numFmtId="0" fontId="33" fillId="11" borderId="107" xfId="0" applyNumberFormat="1" applyFont="1" applyFill="1" applyBorder="1" applyAlignment="1">
      <x:alignment wrapText="1"/>
    </x:xf>
    <x:xf numFmtId="0" fontId="33" fillId="11" borderId="108" xfId="0" applyNumberFormat="1" applyFont="1" applyFill="1" applyBorder="1" applyAlignment="1">
      <x:alignment wrapText="1"/>
    </x:xf>
    <x:xf numFmtId="0" fontId="33" fillId="11" borderId="109" xfId="0" applyNumberFormat="1" applyFont="1" applyFill="1" applyBorder="1" applyAlignment="1">
      <x:alignment wrapText="1"/>
    </x:xf>
    <x:xf numFmtId="0" fontId="33" fillId="11" borderId="110" xfId="0" applyNumberFormat="1" applyFont="1" applyFill="1" applyBorder="1" applyAlignment="1">
      <x:alignment wrapText="1"/>
    </x:xf>
    <x:xf numFmtId="0" fontId="33" fillId="11" borderId="103" xfId="0" applyNumberFormat="1" applyFont="1" applyFill="1" applyBorder="1" applyAlignment="1">
      <x:alignment horizontal="center" wrapText="1"/>
    </x:xf>
    <x:xf numFmtId="0" fontId="33" fillId="11" borderId="104" xfId="0" applyNumberFormat="1" applyFont="1" applyFill="1" applyBorder="1" applyAlignment="1">
      <x:alignment horizontal="center" wrapText="1"/>
    </x:xf>
    <x:xf numFmtId="0" fontId="33" fillId="11" borderId="105" xfId="0" applyNumberFormat="1" applyFont="1" applyFill="1" applyBorder="1" applyAlignment="1">
      <x:alignment horizontal="center" wrapText="1"/>
    </x:xf>
    <x:xf numFmtId="0" fontId="33" fillId="11" borderId="106" xfId="0" applyNumberFormat="1" applyFont="1" applyFill="1" applyBorder="1" applyAlignment="1">
      <x:alignment horizontal="center" wrapText="1"/>
    </x:xf>
    <x:xf numFmtId="0" fontId="33" fillId="11" borderId="1" xfId="0" applyNumberFormat="1" applyFont="1" applyFill="1" applyBorder="1" applyAlignment="1">
      <x:alignment horizontal="center" wrapText="1"/>
    </x:xf>
    <x:xf numFmtId="0" fontId="33" fillId="11" borderId="107" xfId="0" applyNumberFormat="1" applyFont="1" applyFill="1" applyBorder="1" applyAlignment="1">
      <x:alignment horizontal="center" wrapText="1"/>
    </x:xf>
    <x:xf numFmtId="0" fontId="33" fillId="11" borderId="108" xfId="0" applyNumberFormat="1" applyFont="1" applyFill="1" applyBorder="1" applyAlignment="1">
      <x:alignment horizontal="center" wrapText="1"/>
    </x:xf>
    <x:xf numFmtId="0" fontId="33" fillId="11" borderId="109" xfId="0" applyNumberFormat="1" applyFont="1" applyFill="1" applyBorder="1" applyAlignment="1">
      <x:alignment horizontal="center" wrapText="1"/>
    </x:xf>
    <x:xf numFmtId="0" fontId="33" fillId="11" borderId="110" xfId="0" applyNumberFormat="1" applyFont="1" applyFill="1" applyBorder="1" applyAlignment="1">
      <x:alignment horizontal="center" wrapText="1"/>
    </x:xf>
    <x:xf numFmtId="0" fontId="33" fillId="11" borderId="103" xfId="0" applyNumberFormat="1" applyFont="1" applyFill="1" applyBorder="1" applyAlignment="1">
      <x:alignment horizontal="center" vertical="center" wrapText="1"/>
    </x:xf>
    <x:xf numFmtId="0" fontId="33" fillId="11" borderId="104" xfId="0" applyNumberFormat="1" applyFont="1" applyFill="1" applyBorder="1" applyAlignment="1">
      <x:alignment horizontal="center" vertical="center" wrapText="1"/>
    </x:xf>
    <x:xf numFmtId="0" fontId="33" fillId="11" borderId="105" xfId="0" applyNumberFormat="1" applyFont="1" applyFill="1" applyBorder="1" applyAlignment="1">
      <x:alignment horizontal="center" vertical="center" wrapText="1"/>
    </x:xf>
    <x:xf numFmtId="0" fontId="33" fillId="11" borderId="106" xfId="0" applyNumberFormat="1" applyFont="1" applyFill="1" applyBorder="1" applyAlignment="1">
      <x:alignment horizontal="center" vertical="center" wrapText="1"/>
    </x:xf>
    <x:xf numFmtId="0" fontId="33" fillId="11" borderId="1" xfId="0" applyNumberFormat="1" applyFont="1" applyFill="1" applyBorder="1" applyAlignment="1">
      <x:alignment horizontal="center" vertical="center" wrapText="1"/>
    </x:xf>
    <x:xf numFmtId="0" fontId="33" fillId="11" borderId="107" xfId="0" applyNumberFormat="1" applyFont="1" applyFill="1" applyBorder="1" applyAlignment="1">
      <x:alignment horizontal="center" vertical="center" wrapText="1"/>
    </x:xf>
    <x:xf numFmtId="0" fontId="33" fillId="11" borderId="108" xfId="0" applyNumberFormat="1" applyFont="1" applyFill="1" applyBorder="1" applyAlignment="1">
      <x:alignment horizontal="center" vertical="center" wrapText="1"/>
    </x:xf>
    <x:xf numFmtId="0" fontId="33" fillId="11" borderId="109" xfId="0" applyNumberFormat="1" applyFont="1" applyFill="1" applyBorder="1" applyAlignment="1">
      <x:alignment horizontal="center" vertical="center" wrapText="1"/>
    </x:xf>
    <x:xf numFmtId="0" fontId="33" fillId="11" borderId="110" xfId="0" applyNumberFormat="1" applyFont="1" applyFill="1" applyBorder="1" applyAlignment="1">
      <x:alignment horizontal="center" vertical="center" wrapText="1"/>
    </x:xf>
    <x:xf numFmtId="0" fontId="1" fillId="0" borderId="103" xfId="0" applyNumberFormat="1" applyFont="1" applyFill="1" applyBorder="1"/>
    <x:xf numFmtId="0" fontId="1" fillId="0" borderId="104" xfId="0" applyNumberFormat="1" applyFont="1" applyFill="1" applyBorder="1"/>
    <x:xf numFmtId="0" fontId="1" fillId="0" borderId="105" xfId="0" applyNumberFormat="1" applyFont="1" applyFill="1" applyBorder="1"/>
    <x:xf numFmtId="0" fontId="1" fillId="0" borderId="106" xfId="0" applyNumberFormat="1" applyFont="1" applyFill="1" applyBorder="1"/>
    <x:xf numFmtId="0" fontId="1" fillId="0" borderId="107" xfId="0" applyNumberFormat="1" applyFont="1" applyFill="1" applyBorder="1"/>
    <x:xf numFmtId="0" fontId="1" fillId="0" borderId="108" xfId="0" applyNumberFormat="1" applyFont="1" applyFill="1" applyBorder="1"/>
    <x:xf numFmtId="0" fontId="1" fillId="0" borderId="109" xfId="0" applyNumberFormat="1" applyFont="1" applyFill="1" applyBorder="1"/>
    <x:xf numFmtId="0" fontId="1" fillId="0" borderId="110" xfId="0" applyNumberFormat="1" applyFont="1" applyFill="1" applyBorder="1"/>
    <x:xf numFmtId="0" fontId="33" fillId="6" borderId="1" xfId="0" applyNumberFormat="1" applyFont="1" applyFill="1" applyBorder="1"/>
    <x:xf numFmtId="0" fontId="33" fillId="6" borderId="11" xfId="0" applyNumberFormat="1" applyFont="1" applyFill="1" applyBorder="1"/>
    <x:xf numFmtId="0" fontId="33" fillId="6" borderId="12" xfId="0" applyNumberFormat="1" applyFont="1" applyFill="1" applyBorder="1"/>
    <x:xf numFmtId="0" fontId="33" fillId="6" borderId="13" xfId="0" applyNumberFormat="1" applyFont="1" applyFill="1" applyBorder="1"/>
    <x:xf numFmtId="0" fontId="33" fillId="6" borderId="111" xfId="0" applyNumberFormat="1" applyFont="1" applyFill="1" applyBorder="1"/>
    <x:xf numFmtId="0" fontId="33" fillId="6" borderId="112" xfId="0" applyNumberFormat="1" applyFont="1" applyFill="1" applyBorder="1"/>
    <x:xf numFmtId="0" fontId="33" fillId="6" borderId="14" xfId="0" applyNumberFormat="1" applyFont="1" applyFill="1" applyBorder="1"/>
    <x:xf numFmtId="0" fontId="33" fillId="6" borderId="15" xfId="0" applyNumberFormat="1" applyFont="1" applyFill="1" applyBorder="1"/>
    <x:xf numFmtId="0" fontId="33" fillId="6" borderId="16" xfId="0" applyNumberFormat="1" applyFont="1" applyFill="1" applyBorder="1"/>
    <x:xf numFmtId="0" fontId="33" fillId="6" borderId="11" xfId="0" applyNumberFormat="1" applyFont="1" applyFill="1" applyBorder="1" applyAlignment="1">
      <x:alignment wrapText="1"/>
    </x:xf>
    <x:xf numFmtId="0" fontId="33" fillId="6" borderId="12" xfId="0" applyNumberFormat="1" applyFont="1" applyFill="1" applyBorder="1" applyAlignment="1">
      <x:alignment wrapText="1"/>
    </x:xf>
    <x:xf numFmtId="0" fontId="33" fillId="6" borderId="13" xfId="0" applyNumberFormat="1" applyFont="1" applyFill="1" applyBorder="1" applyAlignment="1">
      <x:alignment wrapText="1"/>
    </x:xf>
    <x:xf numFmtId="0" fontId="33" fillId="6" borderId="111" xfId="0" applyNumberFormat="1" applyFont="1" applyFill="1" applyBorder="1" applyAlignment="1">
      <x:alignment wrapText="1"/>
    </x:xf>
    <x:xf numFmtId="0" fontId="33" fillId="6" borderId="1" xfId="0" applyNumberFormat="1" applyFont="1" applyFill="1" applyBorder="1" applyAlignment="1">
      <x:alignment wrapText="1"/>
    </x:xf>
    <x:xf numFmtId="0" fontId="33" fillId="6" borderId="112" xfId="0" applyNumberFormat="1" applyFont="1" applyFill="1" applyBorder="1" applyAlignment="1">
      <x:alignment wrapText="1"/>
    </x:xf>
    <x:xf numFmtId="0" fontId="33" fillId="6" borderId="14" xfId="0" applyNumberFormat="1" applyFont="1" applyFill="1" applyBorder="1" applyAlignment="1">
      <x:alignment wrapText="1"/>
    </x:xf>
    <x:xf numFmtId="0" fontId="33" fillId="6" borderId="15" xfId="0" applyNumberFormat="1" applyFont="1" applyFill="1" applyBorder="1" applyAlignment="1">
      <x:alignment wrapText="1"/>
    </x:xf>
    <x:xf numFmtId="0" fontId="33" fillId="6" borderId="16" xfId="0" applyNumberFormat="1" applyFont="1" applyFill="1" applyBorder="1" applyAlignment="1">
      <x:alignment wrapText="1"/>
    </x:xf>
    <x:xf numFmtId="0" fontId="33" fillId="6" borderId="11" xfId="0" applyNumberFormat="1" applyFont="1" applyFill="1" applyBorder="1" applyAlignment="1">
      <x:alignment horizontal="center" wrapText="1"/>
    </x:xf>
    <x:xf numFmtId="0" fontId="33" fillId="6" borderId="12" xfId="0" applyNumberFormat="1" applyFont="1" applyFill="1" applyBorder="1" applyAlignment="1">
      <x:alignment horizontal="center" wrapText="1"/>
    </x:xf>
    <x:xf numFmtId="0" fontId="33" fillId="6" borderId="13" xfId="0" applyNumberFormat="1" applyFont="1" applyFill="1" applyBorder="1" applyAlignment="1">
      <x:alignment horizontal="center" wrapText="1"/>
    </x:xf>
    <x:xf numFmtId="0" fontId="33" fillId="6" borderId="111" xfId="0" applyNumberFormat="1" applyFont="1" applyFill="1" applyBorder="1" applyAlignment="1">
      <x:alignment horizontal="center" wrapText="1"/>
    </x:xf>
    <x:xf numFmtId="0" fontId="33" fillId="6" borderId="1" xfId="0" applyNumberFormat="1" applyFont="1" applyFill="1" applyBorder="1" applyAlignment="1">
      <x:alignment horizontal="center" wrapText="1"/>
    </x:xf>
    <x:xf numFmtId="0" fontId="33" fillId="6" borderId="112" xfId="0" applyNumberFormat="1" applyFont="1" applyFill="1" applyBorder="1" applyAlignment="1">
      <x:alignment horizontal="center" wrapText="1"/>
    </x:xf>
    <x:xf numFmtId="0" fontId="33" fillId="6" borderId="14" xfId="0" applyNumberFormat="1" applyFont="1" applyFill="1" applyBorder="1" applyAlignment="1">
      <x:alignment horizontal="center" wrapText="1"/>
    </x:xf>
    <x:xf numFmtId="0" fontId="33" fillId="6" borderId="15" xfId="0" applyNumberFormat="1" applyFont="1" applyFill="1" applyBorder="1" applyAlignment="1">
      <x:alignment horizontal="center" wrapText="1"/>
    </x:xf>
    <x:xf numFmtId="0" fontId="33" fillId="6" borderId="16" xfId="0" applyNumberFormat="1" applyFont="1" applyFill="1" applyBorder="1" applyAlignment="1">
      <x:alignment horizontal="center" wrapText="1"/>
    </x:xf>
    <x:xf numFmtId="0" fontId="33" fillId="6" borderId="11" xfId="0" applyNumberFormat="1" applyFont="1" applyFill="1" applyBorder="1" applyAlignment="1">
      <x:alignment horizontal="center" vertical="center" wrapText="1"/>
    </x:xf>
    <x:xf numFmtId="0" fontId="33" fillId="6" borderId="12" xfId="0" applyNumberFormat="1" applyFont="1" applyFill="1" applyBorder="1" applyAlignment="1">
      <x:alignment horizontal="center" vertical="center" wrapText="1"/>
    </x:xf>
    <x:xf numFmtId="0" fontId="33" fillId="6" borderId="13" xfId="0" applyNumberFormat="1" applyFont="1" applyFill="1" applyBorder="1" applyAlignment="1">
      <x:alignment horizontal="center" vertical="center" wrapText="1"/>
    </x:xf>
    <x:xf numFmtId="0" fontId="33" fillId="6" borderId="111" xfId="0" applyNumberFormat="1" applyFont="1" applyFill="1" applyBorder="1" applyAlignment="1">
      <x:alignment horizontal="center" vertical="center" wrapText="1"/>
    </x:xf>
    <x:xf numFmtId="0" fontId="33" fillId="6" borderId="1" xfId="0" applyNumberFormat="1" applyFont="1" applyFill="1" applyBorder="1" applyAlignment="1">
      <x:alignment horizontal="center" vertical="center" wrapText="1"/>
    </x:xf>
    <x:xf numFmtId="0" fontId="33" fillId="6" borderId="112" xfId="0" applyNumberFormat="1" applyFont="1" applyFill="1" applyBorder="1" applyAlignment="1">
      <x:alignment horizontal="center" vertical="center" wrapText="1"/>
    </x:xf>
    <x:xf numFmtId="0" fontId="33" fillId="6" borderId="14" xfId="0" applyNumberFormat="1" applyFont="1" applyFill="1" applyBorder="1" applyAlignment="1">
      <x:alignment horizontal="center" vertical="center" wrapText="1"/>
    </x:xf>
    <x:xf numFmtId="0" fontId="33" fillId="6" borderId="15" xfId="0" applyNumberFormat="1" applyFont="1" applyFill="1" applyBorder="1" applyAlignment="1">
      <x:alignment horizontal="center" vertical="center" wrapText="1"/>
    </x:xf>
    <x:xf numFmtId="0" fontId="33" fillId="6" borderId="16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11" xfId="0" applyNumberFormat="1" applyFont="1" applyFill="1" applyBorder="1"/>
    <x:xf numFmtId="0" fontId="1" fillId="0" borderId="112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12" borderId="1" xfId="0" applyNumberFormat="1" applyFont="1" applyFill="1" applyBorder="1"/>
    <x:xf numFmtId="0" fontId="33" fillId="12" borderId="1" xfId="0" applyNumberFormat="1" applyFont="1" applyFill="1" applyBorder="1"/>
    <x:xf numFmtId="0" fontId="33" fillId="12" borderId="27" xfId="0" applyNumberFormat="1" applyFont="1" applyFill="1" applyBorder="1"/>
    <x:xf numFmtId="0" fontId="33" fillId="12" borderId="28" xfId="0" applyNumberFormat="1" applyFont="1" applyFill="1" applyBorder="1"/>
    <x:xf numFmtId="0" fontId="33" fillId="12" borderId="29" xfId="0" applyNumberFormat="1" applyFont="1" applyFill="1" applyBorder="1"/>
    <x:xf numFmtId="0" fontId="33" fillId="12" borderId="30" xfId="0" applyNumberFormat="1" applyFont="1" applyFill="1" applyBorder="1"/>
    <x:xf numFmtId="0" fontId="33" fillId="12" borderId="31" xfId="0" applyNumberFormat="1" applyFont="1" applyFill="1" applyBorder="1"/>
    <x:xf numFmtId="0" fontId="33" fillId="12" borderId="32" xfId="0" applyNumberFormat="1" applyFont="1" applyFill="1" applyBorder="1"/>
    <x:xf numFmtId="0" fontId="33" fillId="12" borderId="33" xfId="0" applyNumberFormat="1" applyFont="1" applyFill="1" applyBorder="1"/>
    <x:xf numFmtId="0" fontId="33" fillId="12" borderId="34" xfId="0" applyNumberFormat="1" applyFont="1" applyFill="1" applyBorder="1"/>
    <x:xf numFmtId="0" fontId="33" fillId="12" borderId="27" xfId="0" applyNumberFormat="1" applyFont="1" applyFill="1" applyBorder="1" applyAlignment="1">
      <x:alignment wrapText="1"/>
    </x:xf>
    <x:xf numFmtId="0" fontId="33" fillId="12" borderId="28" xfId="0" applyNumberFormat="1" applyFont="1" applyFill="1" applyBorder="1" applyAlignment="1">
      <x:alignment wrapText="1"/>
    </x:xf>
    <x:xf numFmtId="0" fontId="33" fillId="12" borderId="29" xfId="0" applyNumberFormat="1" applyFont="1" applyFill="1" applyBorder="1" applyAlignment="1">
      <x:alignment wrapText="1"/>
    </x:xf>
    <x:xf numFmtId="0" fontId="33" fillId="12" borderId="30" xfId="0" applyNumberFormat="1" applyFont="1" applyFill="1" applyBorder="1" applyAlignment="1">
      <x:alignment wrapText="1"/>
    </x:xf>
    <x:xf numFmtId="0" fontId="33" fillId="12" borderId="1" xfId="0" applyNumberFormat="1" applyFont="1" applyFill="1" applyBorder="1" applyAlignment="1">
      <x:alignment wrapText="1"/>
    </x:xf>
    <x:xf numFmtId="0" fontId="33" fillId="12" borderId="31" xfId="0" applyNumberFormat="1" applyFont="1" applyFill="1" applyBorder="1" applyAlignment="1">
      <x:alignment wrapText="1"/>
    </x:xf>
    <x:xf numFmtId="0" fontId="33" fillId="12" borderId="32" xfId="0" applyNumberFormat="1" applyFont="1" applyFill="1" applyBorder="1" applyAlignment="1">
      <x:alignment wrapText="1"/>
    </x:xf>
    <x:xf numFmtId="0" fontId="33" fillId="12" borderId="33" xfId="0" applyNumberFormat="1" applyFont="1" applyFill="1" applyBorder="1" applyAlignment="1">
      <x:alignment wrapText="1"/>
    </x:xf>
    <x:xf numFmtId="0" fontId="33" fillId="12" borderId="34" xfId="0" applyNumberFormat="1" applyFont="1" applyFill="1" applyBorder="1" applyAlignment="1">
      <x:alignment wrapText="1"/>
    </x:xf>
    <x:xf numFmtId="0" fontId="33" fillId="12" borderId="27" xfId="0" applyNumberFormat="1" applyFont="1" applyFill="1" applyBorder="1" applyAlignment="1">
      <x:alignment horizontal="center" wrapText="1"/>
    </x:xf>
    <x:xf numFmtId="0" fontId="33" fillId="12" borderId="28" xfId="0" applyNumberFormat="1" applyFont="1" applyFill="1" applyBorder="1" applyAlignment="1">
      <x:alignment horizontal="center" wrapText="1"/>
    </x:xf>
    <x:xf numFmtId="0" fontId="33" fillId="12" borderId="29" xfId="0" applyNumberFormat="1" applyFont="1" applyFill="1" applyBorder="1" applyAlignment="1">
      <x:alignment horizontal="center" wrapText="1"/>
    </x:xf>
    <x:xf numFmtId="0" fontId="33" fillId="12" borderId="30" xfId="0" applyNumberFormat="1" applyFont="1" applyFill="1" applyBorder="1" applyAlignment="1">
      <x:alignment horizontal="center" wrapText="1"/>
    </x:xf>
    <x:xf numFmtId="0" fontId="33" fillId="12" borderId="1" xfId="0" applyNumberFormat="1" applyFont="1" applyFill="1" applyBorder="1" applyAlignment="1">
      <x:alignment horizontal="center" wrapText="1"/>
    </x:xf>
    <x:xf numFmtId="0" fontId="33" fillId="12" borderId="31" xfId="0" applyNumberFormat="1" applyFont="1" applyFill="1" applyBorder="1" applyAlignment="1">
      <x:alignment horizontal="center" wrapText="1"/>
    </x:xf>
    <x:xf numFmtId="0" fontId="33" fillId="12" borderId="32" xfId="0" applyNumberFormat="1" applyFont="1" applyFill="1" applyBorder="1" applyAlignment="1">
      <x:alignment horizontal="center" wrapText="1"/>
    </x:xf>
    <x:xf numFmtId="0" fontId="33" fillId="12" borderId="33" xfId="0" applyNumberFormat="1" applyFont="1" applyFill="1" applyBorder="1" applyAlignment="1">
      <x:alignment horizontal="center" wrapText="1"/>
    </x:xf>
    <x:xf numFmtId="0" fontId="33" fillId="12" borderId="34" xfId="0" applyNumberFormat="1" applyFont="1" applyFill="1" applyBorder="1" applyAlignment="1">
      <x:alignment horizontal="center" wrapText="1"/>
    </x:xf>
    <x:xf numFmtId="0" fontId="33" fillId="12" borderId="27" xfId="0" applyNumberFormat="1" applyFont="1" applyFill="1" applyBorder="1" applyAlignment="1">
      <x:alignment horizontal="center" vertical="center" wrapText="1"/>
    </x:xf>
    <x:xf numFmtId="0" fontId="33" fillId="12" borderId="28" xfId="0" applyNumberFormat="1" applyFont="1" applyFill="1" applyBorder="1" applyAlignment="1">
      <x:alignment horizontal="center" vertical="center" wrapText="1"/>
    </x:xf>
    <x:xf numFmtId="0" fontId="33" fillId="12" borderId="29" xfId="0" applyNumberFormat="1" applyFont="1" applyFill="1" applyBorder="1" applyAlignment="1">
      <x:alignment horizontal="center" vertical="center" wrapText="1"/>
    </x:xf>
    <x:xf numFmtId="0" fontId="33" fillId="12" borderId="30" xfId="0" applyNumberFormat="1" applyFont="1" applyFill="1" applyBorder="1" applyAlignment="1">
      <x:alignment horizontal="center" vertical="center" wrapText="1"/>
    </x:xf>
    <x:xf numFmtId="0" fontId="33" fillId="12" borderId="1" xfId="0" applyNumberFormat="1" applyFont="1" applyFill="1" applyBorder="1" applyAlignment="1">
      <x:alignment horizontal="center" vertical="center" wrapText="1"/>
    </x:xf>
    <x:xf numFmtId="0" fontId="33" fillId="12" borderId="31" xfId="0" applyNumberFormat="1" applyFont="1" applyFill="1" applyBorder="1" applyAlignment="1">
      <x:alignment horizontal="center" vertical="center" wrapText="1"/>
    </x:xf>
    <x:xf numFmtId="0" fontId="33" fillId="12" borderId="32" xfId="0" applyNumberFormat="1" applyFont="1" applyFill="1" applyBorder="1" applyAlignment="1">
      <x:alignment horizontal="center" vertical="center" wrapText="1"/>
    </x:xf>
    <x:xf numFmtId="0" fontId="33" fillId="12" borderId="33" xfId="0" applyNumberFormat="1" applyFont="1" applyFill="1" applyBorder="1" applyAlignment="1">
      <x:alignment horizontal="center" vertical="center" wrapText="1"/>
    </x:xf>
    <x:xf numFmtId="0" fontId="33" fillId="12" borderId="34" xfId="0" applyNumberFormat="1" applyFont="1" applyFill="1" applyBorder="1" applyAlignment="1">
      <x:alignment horizontal="center" vertical="center" wrapText="1"/>
    </x:xf>
    <x:xf numFmtId="0" fontId="1" fillId="0" borderId="27" xfId="0" applyNumberFormat="1" applyFont="1" applyFill="1" applyBorder="1"/>
    <x:xf numFmtId="0" fontId="1" fillId="0" borderId="28" xfId="0" applyNumberFormat="1" applyFont="1" applyFill="1" applyBorder="1"/>
    <x:xf numFmtId="0" fontId="1" fillId="0" borderId="29" xfId="0" applyNumberFormat="1" applyFont="1" applyFill="1" applyBorder="1"/>
    <x:xf numFmtId="0" fontId="1" fillId="0" borderId="30" xfId="0" applyNumberFormat="1" applyFont="1" applyFill="1" applyBorder="1"/>
    <x:xf numFmtId="0" fontId="1" fillId="0" borderId="31" xfId="0" applyNumberFormat="1" applyFont="1" applyFill="1" applyBorder="1"/>
    <x:xf numFmtId="0" fontId="1" fillId="0" borderId="32" xfId="0" applyNumberFormat="1" applyFont="1" applyFill="1" applyBorder="1"/>
    <x:xf numFmtId="0" fontId="1" fillId="0" borderId="33" xfId="0" applyNumberFormat="1" applyFont="1" applyFill="1" applyBorder="1"/>
    <x:xf numFmtId="0" fontId="1" fillId="0" borderId="34" xfId="0" applyNumberFormat="1" applyFont="1" applyFill="1" applyBorder="1"/>
    <x:xf numFmtId="0" fontId="1" fillId="13" borderId="1" xfId="0" applyNumberFormat="1" applyFont="1" applyFill="1" applyBorder="1"/>
    <x:xf numFmtId="0" fontId="33" fillId="13" borderId="1" xfId="0" applyNumberFormat="1" applyFont="1" applyFill="1" applyBorder="1"/>
    <x:xf numFmtId="0" fontId="33" fillId="13" borderId="113" xfId="0" applyNumberFormat="1" applyFont="1" applyFill="1" applyBorder="1"/>
    <x:xf numFmtId="0" fontId="33" fillId="13" borderId="114" xfId="0" applyNumberFormat="1" applyFont="1" applyFill="1" applyBorder="1"/>
    <x:xf numFmtId="0" fontId="33" fillId="13" borderId="115" xfId="0" applyNumberFormat="1" applyFont="1" applyFill="1" applyBorder="1"/>
    <x:xf numFmtId="0" fontId="33" fillId="13" borderId="116" xfId="0" applyNumberFormat="1" applyFont="1" applyFill="1" applyBorder="1"/>
    <x:xf numFmtId="0" fontId="33" fillId="13" borderId="117" xfId="0" applyNumberFormat="1" applyFont="1" applyFill="1" applyBorder="1"/>
    <x:xf numFmtId="0" fontId="33" fillId="13" borderId="118" xfId="0" applyNumberFormat="1" applyFont="1" applyFill="1" applyBorder="1"/>
    <x:xf numFmtId="0" fontId="33" fillId="13" borderId="119" xfId="0" applyNumberFormat="1" applyFont="1" applyFill="1" applyBorder="1"/>
    <x:xf numFmtId="0" fontId="33" fillId="13" borderId="120" xfId="0" applyNumberFormat="1" applyFont="1" applyFill="1" applyBorder="1"/>
    <x:xf numFmtId="0" fontId="33" fillId="13" borderId="113" xfId="0" applyNumberFormat="1" applyFont="1" applyFill="1" applyBorder="1" applyAlignment="1">
      <x:alignment wrapText="1"/>
    </x:xf>
    <x:xf numFmtId="0" fontId="33" fillId="13" borderId="114" xfId="0" applyNumberFormat="1" applyFont="1" applyFill="1" applyBorder="1" applyAlignment="1">
      <x:alignment wrapText="1"/>
    </x:xf>
    <x:xf numFmtId="0" fontId="33" fillId="13" borderId="115" xfId="0" applyNumberFormat="1" applyFont="1" applyFill="1" applyBorder="1" applyAlignment="1">
      <x:alignment wrapText="1"/>
    </x:xf>
    <x:xf numFmtId="0" fontId="33" fillId="13" borderId="116" xfId="0" applyNumberFormat="1" applyFont="1" applyFill="1" applyBorder="1" applyAlignment="1">
      <x:alignment wrapText="1"/>
    </x:xf>
    <x:xf numFmtId="0" fontId="33" fillId="13" borderId="1" xfId="0" applyNumberFormat="1" applyFont="1" applyFill="1" applyBorder="1" applyAlignment="1">
      <x:alignment wrapText="1"/>
    </x:xf>
    <x:xf numFmtId="0" fontId="33" fillId="13" borderId="117" xfId="0" applyNumberFormat="1" applyFont="1" applyFill="1" applyBorder="1" applyAlignment="1">
      <x:alignment wrapText="1"/>
    </x:xf>
    <x:xf numFmtId="0" fontId="33" fillId="13" borderId="118" xfId="0" applyNumberFormat="1" applyFont="1" applyFill="1" applyBorder="1" applyAlignment="1">
      <x:alignment wrapText="1"/>
    </x:xf>
    <x:xf numFmtId="0" fontId="33" fillId="13" borderId="119" xfId="0" applyNumberFormat="1" applyFont="1" applyFill="1" applyBorder="1" applyAlignment="1">
      <x:alignment wrapText="1"/>
    </x:xf>
    <x:xf numFmtId="0" fontId="33" fillId="13" borderId="120" xfId="0" applyNumberFormat="1" applyFont="1" applyFill="1" applyBorder="1" applyAlignment="1">
      <x:alignment wrapText="1"/>
    </x:xf>
    <x:xf numFmtId="0" fontId="33" fillId="13" borderId="113" xfId="0" applyNumberFormat="1" applyFont="1" applyFill="1" applyBorder="1" applyAlignment="1">
      <x:alignment horizontal="center" wrapText="1"/>
    </x:xf>
    <x:xf numFmtId="0" fontId="33" fillId="13" borderId="114" xfId="0" applyNumberFormat="1" applyFont="1" applyFill="1" applyBorder="1" applyAlignment="1">
      <x:alignment horizontal="center" wrapText="1"/>
    </x:xf>
    <x:xf numFmtId="0" fontId="33" fillId="13" borderId="115" xfId="0" applyNumberFormat="1" applyFont="1" applyFill="1" applyBorder="1" applyAlignment="1">
      <x:alignment horizontal="center" wrapText="1"/>
    </x:xf>
    <x:xf numFmtId="0" fontId="33" fillId="13" borderId="116" xfId="0" applyNumberFormat="1" applyFont="1" applyFill="1" applyBorder="1" applyAlignment="1">
      <x:alignment horizontal="center" wrapText="1"/>
    </x:xf>
    <x:xf numFmtId="0" fontId="33" fillId="13" borderId="1" xfId="0" applyNumberFormat="1" applyFont="1" applyFill="1" applyBorder="1" applyAlignment="1">
      <x:alignment horizontal="center" wrapText="1"/>
    </x:xf>
    <x:xf numFmtId="0" fontId="33" fillId="13" borderId="117" xfId="0" applyNumberFormat="1" applyFont="1" applyFill="1" applyBorder="1" applyAlignment="1">
      <x:alignment horizontal="center" wrapText="1"/>
    </x:xf>
    <x:xf numFmtId="0" fontId="33" fillId="13" borderId="118" xfId="0" applyNumberFormat="1" applyFont="1" applyFill="1" applyBorder="1" applyAlignment="1">
      <x:alignment horizontal="center" wrapText="1"/>
    </x:xf>
    <x:xf numFmtId="0" fontId="33" fillId="13" borderId="119" xfId="0" applyNumberFormat="1" applyFont="1" applyFill="1" applyBorder="1" applyAlignment="1">
      <x:alignment horizontal="center" wrapText="1"/>
    </x:xf>
    <x:xf numFmtId="0" fontId="33" fillId="13" borderId="120" xfId="0" applyNumberFormat="1" applyFont="1" applyFill="1" applyBorder="1" applyAlignment="1">
      <x:alignment horizontal="center" wrapText="1"/>
    </x:xf>
    <x:xf numFmtId="0" fontId="33" fillId="13" borderId="113" xfId="0" applyNumberFormat="1" applyFont="1" applyFill="1" applyBorder="1" applyAlignment="1">
      <x:alignment horizontal="center" vertical="center" wrapText="1"/>
    </x:xf>
    <x:xf numFmtId="0" fontId="33" fillId="13" borderId="114" xfId="0" applyNumberFormat="1" applyFont="1" applyFill="1" applyBorder="1" applyAlignment="1">
      <x:alignment horizontal="center" vertical="center" wrapText="1"/>
    </x:xf>
    <x:xf numFmtId="0" fontId="33" fillId="13" borderId="115" xfId="0" applyNumberFormat="1" applyFont="1" applyFill="1" applyBorder="1" applyAlignment="1">
      <x:alignment horizontal="center" vertical="center" wrapText="1"/>
    </x:xf>
    <x:xf numFmtId="0" fontId="33" fillId="13" borderId="116" xfId="0" applyNumberFormat="1" applyFont="1" applyFill="1" applyBorder="1" applyAlignment="1">
      <x:alignment horizontal="center" vertical="center" wrapText="1"/>
    </x:xf>
    <x:xf numFmtId="0" fontId="33" fillId="13" borderId="1" xfId="0" applyNumberFormat="1" applyFont="1" applyFill="1" applyBorder="1" applyAlignment="1">
      <x:alignment horizontal="center" vertical="center" wrapText="1"/>
    </x:xf>
    <x:xf numFmtId="0" fontId="33" fillId="13" borderId="117" xfId="0" applyNumberFormat="1" applyFont="1" applyFill="1" applyBorder="1" applyAlignment="1">
      <x:alignment horizontal="center" vertical="center" wrapText="1"/>
    </x:xf>
    <x:xf numFmtId="0" fontId="33" fillId="13" borderId="118" xfId="0" applyNumberFormat="1" applyFont="1" applyFill="1" applyBorder="1" applyAlignment="1">
      <x:alignment horizontal="center" vertical="center" wrapText="1"/>
    </x:xf>
    <x:xf numFmtId="0" fontId="33" fillId="13" borderId="119" xfId="0" applyNumberFormat="1" applyFont="1" applyFill="1" applyBorder="1" applyAlignment="1">
      <x:alignment horizontal="center" vertical="center" wrapText="1"/>
    </x:xf>
    <x:xf numFmtId="0" fontId="33" fillId="13" borderId="120" xfId="0" applyNumberFormat="1" applyFont="1" applyFill="1" applyBorder="1" applyAlignment="1">
      <x:alignment horizontal="center" vertical="center" wrapText="1"/>
    </x:xf>
    <x:xf numFmtId="0" fontId="1" fillId="0" borderId="113" xfId="0" applyNumberFormat="1" applyFont="1" applyFill="1" applyBorder="1"/>
    <x:xf numFmtId="0" fontId="1" fillId="0" borderId="114" xfId="0" applyNumberFormat="1" applyFont="1" applyFill="1" applyBorder="1"/>
    <x:xf numFmtId="0" fontId="1" fillId="0" borderId="115" xfId="0" applyNumberFormat="1" applyFont="1" applyFill="1" applyBorder="1"/>
    <x:xf numFmtId="0" fontId="1" fillId="0" borderId="116" xfId="0" applyNumberFormat="1" applyFont="1" applyFill="1" applyBorder="1"/>
    <x:xf numFmtId="0" fontId="1" fillId="0" borderId="117" xfId="0" applyNumberFormat="1" applyFont="1" applyFill="1" applyBorder="1"/>
    <x:xf numFmtId="0" fontId="1" fillId="0" borderId="118" xfId="0" applyNumberFormat="1" applyFont="1" applyFill="1" applyBorder="1"/>
    <x:xf numFmtId="0" fontId="1" fillId="0" borderId="119" xfId="0" applyNumberFormat="1" applyFont="1" applyFill="1" applyBorder="1"/>
    <x:xf numFmtId="0" fontId="1" fillId="0" borderId="120" xfId="0" applyNumberFormat="1" applyFont="1" applyFill="1" applyBorder="1"/>
    <x:xf numFmtId="0" fontId="13" fillId="0" borderId="107" xfId="0" applyNumberFormat="1" applyFont="1" applyFill="1" applyBorder="1"/>
    <x:xf numFmtId="0" fontId="13" fillId="0" borderId="111" xfId="0" applyNumberFormat="1" applyFont="1" applyFill="1" applyBorder="1"/>
    <x:xf numFmtId="0" fontId="13" fillId="0" borderId="107" xfId="0" applyNumberFormat="1" applyFont="1" applyFill="1" applyBorder="1" applyAlignment="1">
      <x:alignment wrapText="1"/>
    </x:xf>
    <x:xf numFmtId="0" fontId="13" fillId="0" borderId="111" xfId="0" applyNumberFormat="1" applyFont="1" applyFill="1" applyBorder="1" applyAlignment="1">
      <x:alignment wrapText="1"/>
    </x:xf>
    <x:xf numFmtId="0" fontId="13" fillId="0" borderId="107" xfId="0" applyNumberFormat="1" applyFont="1" applyFill="1" applyBorder="1" applyAlignment="1">
      <x:alignment horizontal="center" wrapText="1"/>
    </x:xf>
    <x:xf numFmtId="0" fontId="13" fillId="0" borderId="111" xfId="0" applyNumberFormat="1" applyFont="1" applyFill="1" applyBorder="1" applyAlignment="1">
      <x:alignment horizontal="center" wrapText="1"/>
    </x:xf>
    <x:xf numFmtId="0" fontId="13" fillId="0" borderId="107" xfId="0" applyNumberFormat="1" applyFont="1" applyFill="1" applyBorder="1" applyAlignment="1">
      <x:alignment horizontal="center" vertical="center" wrapText="1"/>
    </x:xf>
    <x:xf numFmtId="0" fontId="13" fillId="0" borderId="111" xfId="0" applyNumberFormat="1" applyFont="1" applyFill="1" applyBorder="1" applyAlignment="1">
      <x:alignment horizontal="center" vertical="center" wrapText="1"/>
    </x:xf>
    <x:xf numFmtId="0" fontId="18" fillId="0" borderId="107" xfId="0" applyNumberFormat="1" applyFont="1" applyFill="1" applyBorder="1"/>
    <x:xf numFmtId="0" fontId="18" fillId="0" borderId="111" xfId="0" applyNumberFormat="1" applyFont="1" applyFill="1" applyBorder="1"/>
    <x:xf numFmtId="0" fontId="18" fillId="0" borderId="107" xfId="0" applyNumberFormat="1" applyFont="1" applyFill="1" applyBorder="1" applyAlignment="1">
      <x:alignment wrapText="1"/>
    </x:xf>
    <x:xf numFmtId="0" fontId="18" fillId="0" borderId="111" xfId="0" applyNumberFormat="1" applyFont="1" applyFill="1" applyBorder="1" applyAlignment="1">
      <x:alignment wrapText="1"/>
    </x:xf>
    <x:xf numFmtId="0" fontId="18" fillId="0" borderId="107" xfId="0" applyNumberFormat="1" applyFont="1" applyFill="1" applyBorder="1" applyAlignment="1">
      <x:alignment horizontal="center" wrapText="1"/>
    </x:xf>
    <x:xf numFmtId="0" fontId="18" fillId="0" borderId="111" xfId="0" applyNumberFormat="1" applyFont="1" applyFill="1" applyBorder="1" applyAlignment="1">
      <x:alignment horizontal="center" wrapText="1"/>
    </x:xf>
    <x:xf numFmtId="0" fontId="18" fillId="0" borderId="107" xfId="0" applyNumberFormat="1" applyFont="1" applyFill="1" applyBorder="1" applyAlignment="1">
      <x:alignment horizontal="center" vertical="center" wrapText="1"/>
    </x:xf>
    <x:xf numFmtId="0" fontId="18" fillId="0" borderId="111" xfId="0" applyNumberFormat="1" applyFont="1" applyFill="1" applyBorder="1" applyAlignment="1">
      <x:alignment horizontal="center" vertical="center" wrapText="1"/>
    </x:xf>
    <x:xf numFmtId="0" fontId="16" fillId="0" borderId="112" xfId="0" applyNumberFormat="1" applyFont="1" applyFill="1" applyBorder="1"/>
    <x:xf numFmtId="0" fontId="16" fillId="0" borderId="30" xfId="0" applyNumberFormat="1" applyFont="1" applyFill="1" applyBorder="1"/>
    <x:xf numFmtId="0" fontId="16" fillId="0" borderId="112" xfId="0" applyNumberFormat="1" applyFont="1" applyFill="1" applyBorder="1" applyAlignment="1">
      <x:alignment wrapText="1"/>
    </x:xf>
    <x:xf numFmtId="0" fontId="16" fillId="0" borderId="30" xfId="0" applyNumberFormat="1" applyFont="1" applyFill="1" applyBorder="1" applyAlignment="1">
      <x:alignment wrapText="1"/>
    </x:xf>
    <x:xf numFmtId="0" fontId="16" fillId="0" borderId="112" xfId="0" applyNumberFormat="1" applyFont="1" applyFill="1" applyBorder="1" applyAlignment="1">
      <x:alignment horizontal="center" wrapText="1"/>
    </x:xf>
    <x:xf numFmtId="0" fontId="16" fillId="0" borderId="30" xfId="0" applyNumberFormat="1" applyFont="1" applyFill="1" applyBorder="1" applyAlignment="1">
      <x:alignment horizontal="center" wrapText="1"/>
    </x:xf>
    <x:xf numFmtId="0" fontId="16" fillId="0" borderId="112" xfId="0" applyNumberFormat="1" applyFont="1" applyFill="1" applyBorder="1" applyAlignment="1">
      <x:alignment horizontal="center" vertical="center" wrapText="1"/>
    </x:xf>
    <x:xf numFmtId="0" fontId="16" fillId="0" borderId="30" xfId="0" applyNumberFormat="1" applyFont="1" applyFill="1" applyBorder="1" applyAlignment="1">
      <x:alignment horizontal="center" vertical="center" wrapText="1"/>
    </x:xf>
    <x:xf numFmtId="0" fontId="18" fillId="0" borderId="112" xfId="0" applyNumberFormat="1" applyFont="1" applyFill="1" applyBorder="1"/>
    <x:xf numFmtId="0" fontId="18" fillId="0" borderId="30" xfId="0" applyNumberFormat="1" applyFont="1" applyFill="1" applyBorder="1"/>
    <x:xf numFmtId="0" fontId="18" fillId="0" borderId="112" xfId="0" applyNumberFormat="1" applyFont="1" applyFill="1" applyBorder="1" applyAlignment="1">
      <x:alignment wrapText="1"/>
    </x:xf>
    <x:xf numFmtId="0" fontId="18" fillId="0" borderId="30" xfId="0" applyNumberFormat="1" applyFont="1" applyFill="1" applyBorder="1" applyAlignment="1">
      <x:alignment wrapText="1"/>
    </x:xf>
    <x:xf numFmtId="0" fontId="18" fillId="0" borderId="112" xfId="0" applyNumberFormat="1" applyFont="1" applyFill="1" applyBorder="1" applyAlignment="1">
      <x:alignment horizontal="center" wrapText="1"/>
    </x:xf>
    <x:xf numFmtId="0" fontId="18" fillId="0" borderId="30" xfId="0" applyNumberFormat="1" applyFont="1" applyFill="1" applyBorder="1" applyAlignment="1">
      <x:alignment horizontal="center" wrapText="1"/>
    </x:xf>
    <x:xf numFmtId="0" fontId="18" fillId="0" borderId="112" xfId="0" applyNumberFormat="1" applyFont="1" applyFill="1" applyBorder="1" applyAlignment="1">
      <x:alignment horizontal="center" vertical="center" wrapText="1"/>
    </x:xf>
    <x:xf numFmtId="0" fontId="18" fillId="0" borderId="30" xfId="0" applyNumberFormat="1" applyFont="1" applyFill="1" applyBorder="1" applyAlignment="1">
      <x:alignment horizontal="center" vertical="center" wrapText="1"/>
    </x:xf>
    <x:xf numFmtId="0" fontId="15" fillId="0" borderId="31" xfId="0" applyNumberFormat="1" applyFont="1" applyFill="1" applyBorder="1"/>
    <x:xf numFmtId="0" fontId="15" fillId="0" borderId="116" xfId="0" applyNumberFormat="1" applyFont="1" applyFill="1" applyBorder="1"/>
    <x:xf numFmtId="0" fontId="15" fillId="0" borderId="31" xfId="0" applyNumberFormat="1" applyFont="1" applyFill="1" applyBorder="1" applyAlignment="1">
      <x:alignment wrapText="1"/>
    </x:xf>
    <x:xf numFmtId="0" fontId="15" fillId="0" borderId="116" xfId="0" applyNumberFormat="1" applyFont="1" applyFill="1" applyBorder="1" applyAlignment="1">
      <x:alignment wrapText="1"/>
    </x:xf>
    <x:xf numFmtId="0" fontId="15" fillId="0" borderId="31" xfId="0" applyNumberFormat="1" applyFont="1" applyFill="1" applyBorder="1" applyAlignment="1">
      <x:alignment horizontal="center" wrapText="1"/>
    </x:xf>
    <x:xf numFmtId="0" fontId="15" fillId="0" borderId="116" xfId="0" applyNumberFormat="1" applyFont="1" applyFill="1" applyBorder="1" applyAlignment="1">
      <x:alignment horizontal="center" wrapText="1"/>
    </x:xf>
    <x:xf numFmtId="0" fontId="15" fillId="0" borderId="31" xfId="0" applyNumberFormat="1" applyFont="1" applyFill="1" applyBorder="1" applyAlignment="1">
      <x:alignment horizontal="center" vertical="center" wrapText="1"/>
    </x:xf>
    <x:xf numFmtId="0" fontId="15" fillId="0" borderId="116" xfId="0" applyNumberFormat="1" applyFont="1" applyFill="1" applyBorder="1" applyAlignment="1">
      <x:alignment horizontal="center" vertical="center" wrapText="1"/>
    </x:xf>
    <x:xf numFmtId="0" fontId="18" fillId="0" borderId="31" xfId="0" applyNumberFormat="1" applyFont="1" applyFill="1" applyBorder="1"/>
    <x:xf numFmtId="0" fontId="18" fillId="0" borderId="116" xfId="0" applyNumberFormat="1" applyFont="1" applyFill="1" applyBorder="1"/>
    <x:xf numFmtId="0" fontId="18" fillId="0" borderId="31" xfId="0" applyNumberFormat="1" applyFont="1" applyFill="1" applyBorder="1" applyAlignment="1">
      <x:alignment wrapText="1"/>
    </x:xf>
    <x:xf numFmtId="0" fontId="18" fillId="0" borderId="116" xfId="0" applyNumberFormat="1" applyFont="1" applyFill="1" applyBorder="1" applyAlignment="1">
      <x:alignment wrapText="1"/>
    </x:xf>
    <x:xf numFmtId="0" fontId="18" fillId="0" borderId="31" xfId="0" applyNumberFormat="1" applyFont="1" applyFill="1" applyBorder="1" applyAlignment="1">
      <x:alignment horizontal="center" wrapText="1"/>
    </x:xf>
    <x:xf numFmtId="0" fontId="18" fillId="0" borderId="116" xfId="0" applyNumberFormat="1" applyFont="1" applyFill="1" applyBorder="1" applyAlignment="1">
      <x:alignment horizontal="center" wrapText="1"/>
    </x:xf>
    <x:xf numFmtId="0" fontId="18" fillId="0" borderId="31" xfId="0" applyNumberFormat="1" applyFont="1" applyFill="1" applyBorder="1" applyAlignment="1">
      <x:alignment horizontal="center" vertical="center" wrapText="1"/>
    </x:xf>
    <x:xf numFmtId="0" fontId="18" fillId="0" borderId="116" xfId="0" applyNumberFormat="1" applyFont="1" applyFill="1" applyBorder="1" applyAlignment="1">
      <x:alignment horizontal="center" vertical="center" wrapText="1"/>
    </x:xf>
    <x:xf numFmtId="0" fontId="34" fillId="0" borderId="1" xfId="0" applyNumberFormat="1" applyFont="1" applyFill="1" applyBorder="1"/>
    <x:xf numFmtId="0" fontId="34" fillId="0" borderId="107" xfId="0" applyNumberFormat="1" applyFont="1" applyFill="1" applyBorder="1"/>
    <x:xf numFmtId="0" fontId="34" fillId="0" borderId="111" xfId="0" applyNumberFormat="1" applyFont="1" applyFill="1" applyBorder="1"/>
    <x:xf numFmtId="0" fontId="34" fillId="0" borderId="1" xfId="0" applyNumberFormat="1" applyFont="1" applyFill="1" applyBorder="1" applyAlignment="1">
      <x:alignment wrapText="1"/>
    </x:xf>
    <x:xf numFmtId="0" fontId="34" fillId="0" borderId="107" xfId="0" applyNumberFormat="1" applyFont="1" applyFill="1" applyBorder="1" applyAlignment="1">
      <x:alignment wrapText="1"/>
    </x:xf>
    <x:xf numFmtId="0" fontId="34" fillId="0" borderId="111" xfId="0" applyNumberFormat="1" applyFont="1" applyFill="1" applyBorder="1" applyAlignment="1">
      <x:alignment wrapText="1"/>
    </x:xf>
    <x:xf numFmtId="0" fontId="34" fillId="0" borderId="1" xfId="0" applyNumberFormat="1" applyFont="1" applyFill="1" applyBorder="1" applyAlignment="1">
      <x:alignment horizontal="center" wrapText="1"/>
    </x:xf>
    <x:xf numFmtId="0" fontId="34" fillId="0" borderId="107" xfId="0" applyNumberFormat="1" applyFont="1" applyFill="1" applyBorder="1" applyAlignment="1">
      <x:alignment horizontal="center" wrapText="1"/>
    </x:xf>
    <x:xf numFmtId="0" fontId="34" fillId="0" borderId="111" xfId="0" applyNumberFormat="1" applyFont="1" applyFill="1" applyBorder="1" applyAlignment="1">
      <x:alignment horizontal="center" wrapText="1"/>
    </x:xf>
    <x:xf numFmtId="0" fontId="34" fillId="0" borderId="1" xfId="0" applyNumberFormat="1" applyFont="1" applyFill="1" applyBorder="1" applyAlignment="1">
      <x:alignment horizontal="center" vertical="center" wrapText="1"/>
    </x:xf>
    <x:xf numFmtId="0" fontId="34" fillId="0" borderId="107" xfId="0" applyNumberFormat="1" applyFont="1" applyFill="1" applyBorder="1" applyAlignment="1">
      <x:alignment horizontal="center" vertical="center" wrapText="1"/>
    </x:xf>
    <x:xf numFmtId="0" fontId="34" fillId="0" borderId="111" xfId="0" applyNumberFormat="1" applyFont="1" applyFill="1" applyBorder="1" applyAlignment="1">
      <x:alignment horizontal="center" vertical="center" wrapText="1"/>
    </x:xf>
    <x:xf numFmtId="0" fontId="14" fillId="0" borderId="107" xfId="0" applyNumberFormat="1" applyFont="1" applyFill="1" applyBorder="1"/>
    <x:xf numFmtId="0" fontId="14" fillId="0" borderId="111" xfId="0" applyNumberFormat="1" applyFont="1" applyFill="1" applyBorder="1"/>
    <x:xf numFmtId="0" fontId="14" fillId="0" borderId="107" xfId="0" applyNumberFormat="1" applyFont="1" applyFill="1" applyBorder="1" applyAlignment="1">
      <x:alignment wrapText="1"/>
    </x:xf>
    <x:xf numFmtId="0" fontId="14" fillId="0" borderId="111" xfId="0" applyNumberFormat="1" applyFont="1" applyFill="1" applyBorder="1" applyAlignment="1">
      <x:alignment wrapText="1"/>
    </x:xf>
    <x:xf numFmtId="0" fontId="14" fillId="0" borderId="107" xfId="0" applyNumberFormat="1" applyFont="1" applyFill="1" applyBorder="1" applyAlignment="1">
      <x:alignment horizontal="center" wrapText="1"/>
    </x:xf>
    <x:xf numFmtId="0" fontId="14" fillId="0" borderId="111" xfId="0" applyNumberFormat="1" applyFont="1" applyFill="1" applyBorder="1" applyAlignment="1">
      <x:alignment horizontal="center" wrapText="1"/>
    </x:xf>
    <x:xf numFmtId="0" fontId="14" fillId="0" borderId="107" xfId="0" applyNumberFormat="1" applyFont="1" applyFill="1" applyBorder="1" applyAlignment="1">
      <x:alignment horizontal="center" vertical="center" wrapText="1"/>
    </x:xf>
    <x:xf numFmtId="0" fontId="14" fillId="0" borderId="111" xfId="0" applyNumberFormat="1" applyFont="1" applyFill="1" applyBorder="1" applyAlignment="1">
      <x:alignment horizontal="center" vertical="center" wrapText="1"/>
    </x:xf>
    <x:xf numFmtId="0" fontId="15" fillId="0" borderId="112" xfId="0" applyNumberFormat="1" applyFont="1" applyFill="1" applyBorder="1"/>
    <x:xf numFmtId="0" fontId="15" fillId="0" borderId="30" xfId="0" applyNumberFormat="1" applyFont="1" applyFill="1" applyBorder="1"/>
    <x:xf numFmtId="0" fontId="15" fillId="0" borderId="112" xfId="0" applyNumberFormat="1" applyFont="1" applyFill="1" applyBorder="1" applyAlignment="1">
      <x:alignment wrapText="1"/>
    </x:xf>
    <x:xf numFmtId="0" fontId="15" fillId="0" borderId="30" xfId="0" applyNumberFormat="1" applyFont="1" applyFill="1" applyBorder="1" applyAlignment="1">
      <x:alignment wrapText="1"/>
    </x:xf>
    <x:xf numFmtId="0" fontId="15" fillId="0" borderId="112" xfId="0" applyNumberFormat="1" applyFont="1" applyFill="1" applyBorder="1" applyAlignment="1">
      <x:alignment horizontal="center" wrapText="1"/>
    </x:xf>
    <x:xf numFmtId="0" fontId="15" fillId="0" borderId="30" xfId="0" applyNumberFormat="1" applyFont="1" applyFill="1" applyBorder="1" applyAlignment="1">
      <x:alignment horizontal="center" wrapText="1"/>
    </x:xf>
    <x:xf numFmtId="0" fontId="15" fillId="0" borderId="112" xfId="0" applyNumberFormat="1" applyFont="1" applyFill="1" applyBorder="1" applyAlignment="1">
      <x:alignment horizontal="center" vertical="center" wrapText="1"/>
    </x:xf>
    <x:xf numFmtId="0" fontId="15" fillId="0" borderId="30" xfId="0" applyNumberFormat="1" applyFont="1" applyFill="1" applyBorder="1" applyAlignment="1">
      <x:alignment horizontal="center" vertical="center" wrapText="1"/>
    </x:xf>
    <x:xf numFmtId="0" fontId="15" fillId="0" borderId="107" xfId="0" applyNumberFormat="1" applyFont="1" applyFill="1" applyBorder="1"/>
    <x:xf numFmtId="0" fontId="15" fillId="0" borderId="111" xfId="0" applyNumberFormat="1" applyFont="1" applyFill="1" applyBorder="1"/>
    <x:xf numFmtId="0" fontId="15" fillId="0" borderId="107" xfId="0" applyNumberFormat="1" applyFont="1" applyFill="1" applyBorder="1" applyAlignment="1">
      <x:alignment wrapText="1"/>
    </x:xf>
    <x:xf numFmtId="0" fontId="15" fillId="0" borderId="111" xfId="0" applyNumberFormat="1" applyFont="1" applyFill="1" applyBorder="1" applyAlignment="1">
      <x:alignment wrapText="1"/>
    </x:xf>
    <x:xf numFmtId="0" fontId="15" fillId="0" borderId="107" xfId="0" applyNumberFormat="1" applyFont="1" applyFill="1" applyBorder="1" applyAlignment="1">
      <x:alignment horizontal="center" wrapText="1"/>
    </x:xf>
    <x:xf numFmtId="0" fontId="15" fillId="0" borderId="111" xfId="0" applyNumberFormat="1" applyFont="1" applyFill="1" applyBorder="1" applyAlignment="1">
      <x:alignment horizontal="center" wrapText="1"/>
    </x:xf>
    <x:xf numFmtId="0" fontId="15" fillId="0" borderId="107" xfId="0" applyNumberFormat="1" applyFont="1" applyFill="1" applyBorder="1" applyAlignment="1">
      <x:alignment horizontal="center" vertical="center" wrapText="1"/>
    </x:xf>
    <x:xf numFmtId="0" fontId="15" fillId="0" borderId="111" xfId="0" applyNumberFormat="1" applyFont="1" applyFill="1" applyBorder="1" applyAlignment="1">
      <x:alignment horizontal="center" vertical="center" wrapText="1"/>
    </x:xf>
    <x:xf numFmtId="0" fontId="1" fillId="7" borderId="106" xfId="0" applyNumberFormat="1" applyFont="1" applyFill="1" applyBorder="1"/>
    <x:xf numFmtId="0" fontId="1" fillId="7" borderId="107" xfId="0" applyNumberFormat="1" applyFont="1" applyFill="1" applyBorder="1"/>
    <x:xf numFmtId="0" fontId="1" fillId="7" borderId="111" xfId="0" applyNumberFormat="1" applyFont="1" applyFill="1" applyBorder="1"/>
    <x:xf numFmtId="0" fontId="1" fillId="7" borderId="112" xfId="0" applyNumberFormat="1" applyFont="1" applyFill="1" applyBorder="1"/>
    <x:xf numFmtId="0" fontId="1" fillId="7" borderId="30" xfId="0" applyNumberFormat="1" applyFont="1" applyFill="1" applyBorder="1"/>
    <x:xf numFmtId="0" fontId="1" fillId="7" borderId="31" xfId="0" applyNumberFormat="1" applyFont="1" applyFill="1" applyBorder="1"/>
    <x:xf numFmtId="0" fontId="1" fillId="7" borderId="116" xfId="0" applyNumberFormat="1" applyFont="1" applyFill="1" applyBorder="1"/>
    <x:xf numFmtId="0" fontId="1" fillId="7" borderId="108" xfId="0" applyNumberFormat="1" applyFont="1" applyFill="1" applyBorder="1"/>
    <x:xf numFmtId="0" fontId="1" fillId="7" borderId="109" xfId="0" applyNumberFormat="1" applyFont="1" applyFill="1" applyBorder="1"/>
    <x:xf numFmtId="0" fontId="1" fillId="7" borderId="110" xfId="0" applyNumberFormat="1" applyFont="1" applyFill="1" applyBorder="1"/>
    <x:xf numFmtId="0" fontId="1" fillId="7" borderId="14" xfId="0" applyNumberFormat="1" applyFont="1" applyFill="1" applyBorder="1"/>
    <x:xf numFmtId="0" fontId="1" fillId="7" borderId="15" xfId="0" applyNumberFormat="1" applyFont="1" applyFill="1" applyBorder="1"/>
    <x:xf numFmtId="0" fontId="1" fillId="7" borderId="16" xfId="0" applyNumberFormat="1" applyFont="1" applyFill="1" applyBorder="1"/>
    <x:xf numFmtId="0" fontId="1" fillId="7" borderId="32" xfId="0" applyNumberFormat="1" applyFont="1" applyFill="1" applyBorder="1"/>
    <x:xf numFmtId="0" fontId="1" fillId="7" borderId="33" xfId="0" applyNumberFormat="1" applyFont="1" applyFill="1" applyBorder="1"/>
    <x:xf numFmtId="0" fontId="1" fillId="7" borderId="34" xfId="0" applyNumberFormat="1" applyFont="1" applyFill="1" applyBorder="1"/>
    <x:xf numFmtId="0" fontId="1" fillId="7" borderId="118" xfId="0" applyNumberFormat="1" applyFont="1" applyFill="1" applyBorder="1"/>
    <x:xf numFmtId="0" fontId="1" fillId="7" borderId="119" xfId="0" applyNumberFormat="1" applyFont="1" applyFill="1" applyBorder="1"/>
    <x:xf numFmtId="0" fontId="19" fillId="7" borderId="106" xfId="0" applyNumberFormat="1" applyFont="1" applyFill="1" applyBorder="1"/>
    <x:xf numFmtId="0" fontId="19" fillId="7" borderId="107" xfId="0" applyNumberFormat="1" applyFont="1" applyFill="1" applyBorder="1"/>
    <x:xf numFmtId="0" fontId="19" fillId="7" borderId="111" xfId="0" applyNumberFormat="1" applyFont="1" applyFill="1" applyBorder="1"/>
    <x:xf numFmtId="0" fontId="19" fillId="7" borderId="112" xfId="0" applyNumberFormat="1" applyFont="1" applyFill="1" applyBorder="1"/>
    <x:xf numFmtId="0" fontId="19" fillId="7" borderId="116" xfId="0" applyNumberFormat="1" applyFont="1" applyFill="1" applyBorder="1"/>
    <x:xf numFmtId="0" fontId="19" fillId="7" borderId="108" xfId="0" applyNumberFormat="1" applyFont="1" applyFill="1" applyBorder="1"/>
    <x:xf numFmtId="0" fontId="19" fillId="7" borderId="109" xfId="0" applyNumberFormat="1" applyFont="1" applyFill="1" applyBorder="1"/>
    <x:xf numFmtId="0" fontId="19" fillId="7" borderId="110" xfId="0" applyNumberFormat="1" applyFont="1" applyFill="1" applyBorder="1"/>
    <x:xf numFmtId="0" fontId="19" fillId="7" borderId="14" xfId="0" applyNumberFormat="1" applyFont="1" applyFill="1" applyBorder="1"/>
    <x:xf numFmtId="0" fontId="19" fillId="7" borderId="15" xfId="0" applyNumberFormat="1" applyFont="1" applyFill="1" applyBorder="1"/>
    <x:xf numFmtId="0" fontId="19" fillId="7" borderId="16" xfId="0" applyNumberFormat="1" applyFont="1" applyFill="1" applyBorder="1"/>
    <x:xf numFmtId="0" fontId="19" fillId="7" borderId="118" xfId="0" applyNumberFormat="1" applyFont="1" applyFill="1" applyBorder="1"/>
    <x:xf numFmtId="0" fontId="19" fillId="7" borderId="119" xfId="0" applyNumberFormat="1" applyFont="1" applyFill="1" applyBorder="1"/>
    <x:xf numFmtId="0" fontId="19" fillId="7" borderId="121" xfId="0" applyNumberFormat="1" applyFont="1" applyFill="1" applyBorder="1"/>
    <x:xf numFmtId="0" fontId="19" fillId="7" borderId="122" xfId="0" applyNumberFormat="1" applyFont="1" applyFill="1" applyBorder="1"/>
    <x:xf numFmtId="0" fontId="19" fillId="7" borderId="123" xfId="0" applyNumberFormat="1" applyFont="1" applyFill="1" applyBorder="1"/>
    <x:xf numFmtId="0" fontId="19" fillId="7" borderId="124" xfId="0" applyNumberFormat="1" applyFont="1" applyFill="1" applyBorder="1"/>
    <x:xf numFmtId="0" fontId="19" fillId="7" borderId="125" xfId="0" applyNumberFormat="1" applyFont="1" applyFill="1" applyBorder="1"/>
    <x:xf numFmtId="0" fontId="19" fillId="7" borderId="126" xfId="0" applyNumberFormat="1" applyFont="1" applyFill="1" applyBorder="1"/>
    <x:xf numFmtId="0" fontId="19" fillId="7" borderId="127" xfId="0" applyNumberFormat="1" applyFont="1" applyFill="1" applyBorder="1"/>
    <x:xf numFmtId="0" fontId="19" fillId="7" borderId="128" xfId="0" applyNumberFormat="1" applyFont="1" applyFill="1" applyBorder="1"/>
    <x:xf numFmtId="0" fontId="19" fillId="7" borderId="121" xfId="0" applyNumberFormat="1" applyFont="1" applyFill="1" applyBorder="1" applyAlignment="1">
      <x:alignment wrapText="1"/>
    </x:xf>
    <x:xf numFmtId="0" fontId="19" fillId="7" borderId="122" xfId="0" applyNumberFormat="1" applyFont="1" applyFill="1" applyBorder="1" applyAlignment="1">
      <x:alignment wrapText="1"/>
    </x:xf>
    <x:xf numFmtId="0" fontId="19" fillId="7" borderId="123" xfId="0" applyNumberFormat="1" applyFont="1" applyFill="1" applyBorder="1" applyAlignment="1">
      <x:alignment wrapText="1"/>
    </x:xf>
    <x:xf numFmtId="0" fontId="19" fillId="7" borderId="124" xfId="0" applyNumberFormat="1" applyFont="1" applyFill="1" applyBorder="1" applyAlignment="1">
      <x:alignment wrapText="1"/>
    </x:xf>
    <x:xf numFmtId="0" fontId="19" fillId="7" borderId="107" xfId="0" applyNumberFormat="1" applyFont="1" applyFill="1" applyBorder="1" applyAlignment="1">
      <x:alignment wrapText="1"/>
    </x:xf>
    <x:xf numFmtId="0" fontId="19" fillId="7" borderId="111" xfId="0" applyNumberFormat="1" applyFont="1" applyFill="1" applyBorder="1" applyAlignment="1">
      <x:alignment wrapText="1"/>
    </x:xf>
    <x:xf numFmtId="0" fontId="19" fillId="7" borderId="112" xfId="0" applyNumberFormat="1" applyFont="1" applyFill="1" applyBorder="1" applyAlignment="1">
      <x:alignment wrapText="1"/>
    </x:xf>
    <x:xf numFmtId="0" fontId="19" fillId="7" borderId="116" xfId="0" applyNumberFormat="1" applyFont="1" applyFill="1" applyBorder="1" applyAlignment="1">
      <x:alignment wrapText="1"/>
    </x:xf>
    <x:xf numFmtId="0" fontId="19" fillId="7" borderId="125" xfId="0" applyNumberFormat="1" applyFont="1" applyFill="1" applyBorder="1" applyAlignment="1">
      <x:alignment wrapText="1"/>
    </x:xf>
    <x:xf numFmtId="0" fontId="19" fillId="7" borderId="126" xfId="0" applyNumberFormat="1" applyFont="1" applyFill="1" applyBorder="1" applyAlignment="1">
      <x:alignment wrapText="1"/>
    </x:xf>
    <x:xf numFmtId="0" fontId="19" fillId="7" borderId="127" xfId="0" applyNumberFormat="1" applyFont="1" applyFill="1" applyBorder="1" applyAlignment="1">
      <x:alignment wrapText="1"/>
    </x:xf>
    <x:xf numFmtId="0" fontId="19" fillId="7" borderId="128" xfId="0" applyNumberFormat="1" applyFont="1" applyFill="1" applyBorder="1" applyAlignment="1">
      <x:alignment wrapText="1"/>
    </x:xf>
    <x:xf numFmtId="0" fontId="19" fillId="7" borderId="121" xfId="0" applyNumberFormat="1" applyFont="1" applyFill="1" applyBorder="1" applyAlignment="1">
      <x:alignment horizontal="left" wrapText="1"/>
    </x:xf>
    <x:xf numFmtId="0" fontId="19" fillId="7" borderId="122" xfId="0" applyNumberFormat="1" applyFont="1" applyFill="1" applyBorder="1" applyAlignment="1">
      <x:alignment horizontal="left" wrapText="1"/>
    </x:xf>
    <x:xf numFmtId="0" fontId="19" fillId="7" borderId="123" xfId="0" applyNumberFormat="1" applyFont="1" applyFill="1" applyBorder="1" applyAlignment="1">
      <x:alignment horizontal="left" wrapText="1"/>
    </x:xf>
    <x:xf numFmtId="0" fontId="19" fillId="7" borderId="124" xfId="0" applyNumberFormat="1" applyFont="1" applyFill="1" applyBorder="1" applyAlignment="1">
      <x:alignment horizontal="left" wrapText="1"/>
    </x:xf>
    <x:xf numFmtId="0" fontId="19" fillId="7" borderId="107" xfId="0" applyNumberFormat="1" applyFont="1" applyFill="1" applyBorder="1" applyAlignment="1">
      <x:alignment horizontal="left" wrapText="1"/>
    </x:xf>
    <x:xf numFmtId="0" fontId="19" fillId="7" borderId="111" xfId="0" applyNumberFormat="1" applyFont="1" applyFill="1" applyBorder="1" applyAlignment="1">
      <x:alignment horizontal="left" wrapText="1"/>
    </x:xf>
    <x:xf numFmtId="0" fontId="19" fillId="7" borderId="112" xfId="0" applyNumberFormat="1" applyFont="1" applyFill="1" applyBorder="1" applyAlignment="1">
      <x:alignment horizontal="left" wrapText="1"/>
    </x:xf>
    <x:xf numFmtId="0" fontId="19" fillId="7" borderId="116" xfId="0" applyNumberFormat="1" applyFont="1" applyFill="1" applyBorder="1" applyAlignment="1">
      <x:alignment horizontal="left" wrapText="1"/>
    </x:xf>
    <x:xf numFmtId="0" fontId="19" fillId="7" borderId="125" xfId="0" applyNumberFormat="1" applyFont="1" applyFill="1" applyBorder="1" applyAlignment="1">
      <x:alignment horizontal="left" wrapText="1"/>
    </x:xf>
    <x:xf numFmtId="0" fontId="19" fillId="7" borderId="126" xfId="0" applyNumberFormat="1" applyFont="1" applyFill="1" applyBorder="1" applyAlignment="1">
      <x:alignment horizontal="left" wrapText="1"/>
    </x:xf>
    <x:xf numFmtId="0" fontId="19" fillId="7" borderId="127" xfId="0" applyNumberFormat="1" applyFont="1" applyFill="1" applyBorder="1" applyAlignment="1">
      <x:alignment horizontal="left" wrapText="1"/>
    </x:xf>
    <x:xf numFmtId="0" fontId="19" fillId="7" borderId="128" xfId="0" applyNumberFormat="1" applyFont="1" applyFill="1" applyBorder="1" applyAlignment="1">
      <x:alignment horizontal="left" wrapText="1"/>
    </x:xf>
    <x:xf numFmtId="0" fontId="19" fillId="7" borderId="121" xfId="0" applyNumberFormat="1" applyFont="1" applyFill="1" applyBorder="1" applyAlignment="1">
      <x:alignment horizontal="left" vertical="center" wrapText="1"/>
    </x:xf>
    <x:xf numFmtId="0" fontId="19" fillId="7" borderId="122" xfId="0" applyNumberFormat="1" applyFont="1" applyFill="1" applyBorder="1" applyAlignment="1">
      <x:alignment horizontal="left" vertical="center" wrapText="1"/>
    </x:xf>
    <x:xf numFmtId="0" fontId="19" fillId="7" borderId="123" xfId="0" applyNumberFormat="1" applyFont="1" applyFill="1" applyBorder="1" applyAlignment="1">
      <x:alignment horizontal="left" vertical="center" wrapText="1"/>
    </x:xf>
    <x:xf numFmtId="0" fontId="19" fillId="7" borderId="124" xfId="0" applyNumberFormat="1" applyFont="1" applyFill="1" applyBorder="1" applyAlignment="1">
      <x:alignment horizontal="left" vertical="center" wrapText="1"/>
    </x:xf>
    <x:xf numFmtId="0" fontId="19" fillId="7" borderId="107" xfId="0" applyNumberFormat="1" applyFont="1" applyFill="1" applyBorder="1" applyAlignment="1">
      <x:alignment horizontal="left" vertical="center" wrapText="1"/>
    </x:xf>
    <x:xf numFmtId="0" fontId="19" fillId="7" borderId="111" xfId="0" applyNumberFormat="1" applyFont="1" applyFill="1" applyBorder="1" applyAlignment="1">
      <x:alignment horizontal="left" vertical="center" wrapText="1"/>
    </x:xf>
    <x:xf numFmtId="0" fontId="19" fillId="7" borderId="112" xfId="0" applyNumberFormat="1" applyFont="1" applyFill="1" applyBorder="1" applyAlignment="1">
      <x:alignment horizontal="left" vertical="center" wrapText="1"/>
    </x:xf>
    <x:xf numFmtId="0" fontId="19" fillId="7" borderId="116" xfId="0" applyNumberFormat="1" applyFont="1" applyFill="1" applyBorder="1" applyAlignment="1">
      <x:alignment horizontal="left" vertical="center" wrapText="1"/>
    </x:xf>
    <x:xf numFmtId="0" fontId="19" fillId="7" borderId="125" xfId="0" applyNumberFormat="1" applyFont="1" applyFill="1" applyBorder="1" applyAlignment="1">
      <x:alignment horizontal="left" vertical="center" wrapText="1"/>
    </x:xf>
    <x:xf numFmtId="0" fontId="19" fillId="7" borderId="126" xfId="0" applyNumberFormat="1" applyFont="1" applyFill="1" applyBorder="1" applyAlignment="1">
      <x:alignment horizontal="left" vertical="center" wrapText="1"/>
    </x:xf>
    <x:xf numFmtId="0" fontId="19" fillId="7" borderId="127" xfId="0" applyNumberFormat="1" applyFont="1" applyFill="1" applyBorder="1" applyAlignment="1">
      <x:alignment horizontal="left" vertical="center" wrapText="1"/>
    </x:xf>
    <x:xf numFmtId="0" fontId="19" fillId="7" borderId="128" xfId="0" applyNumberFormat="1" applyFont="1" applyFill="1" applyBorder="1" applyAlignment="1">
      <x:alignment horizontal="left" vertical="center" wrapText="1"/>
    </x:xf>
    <x:xf numFmtId="0" fontId="35" fillId="2" borderId="1" xfId="0" applyNumberFormat="1" applyFont="1" applyFill="1" applyBorder="1"/>
    <x:xf numFmtId="0" fontId="35" fillId="2" borderId="1" xfId="0" applyNumberFormat="1" applyFont="1" applyFill="1" applyBorder="1" applyAlignment="1">
      <x:alignment wrapText="1"/>
    </x:xf>
    <x:xf numFmtId="0" fontId="35" fillId="2" borderId="1" xfId="0" applyNumberFormat="1" applyFont="1" applyFill="1" applyBorder="1" applyAlignment="1">
      <x:alignment horizontal="left" wrapText="1"/>
    </x:xf>
    <x:xf numFmtId="0" fontId="35" fillId="2" borderId="1" xfId="0" applyNumberFormat="1" applyFont="1" applyFill="1" applyBorder="1" applyAlignment="1">
      <x:alignment horizontal="left" vertical="center" wrapText="1"/>
    </x:xf>
    <x:xf numFmtId="200" fontId="5" fillId="5" borderId="10" xfId="0" applyNumberFormat="1" applyFont="1" applyFill="1" applyBorder="1" applyAlignment="1">
      <x:alignment horizontal="left" vertical="center" wrapText="1"/>
    </x:xf>
    <x:xf numFmtId="0" fontId="34" fillId="4" borderId="1" xfId="0" applyNumberFormat="1" applyFont="1" applyFill="1" applyBorder="1"/>
    <x:xf numFmtId="0" fontId="34" fillId="4" borderId="129" xfId="0" applyNumberFormat="1" applyFont="1" applyFill="1" applyBorder="1"/>
    <x:xf numFmtId="0" fontId="34" fillId="4" borderId="130" xfId="0" applyNumberFormat="1" applyFont="1" applyFill="1" applyBorder="1"/>
    <x:xf numFmtId="0" fontId="34" fillId="4" borderId="131" xfId="0" applyNumberFormat="1" applyFont="1" applyFill="1" applyBorder="1"/>
    <x:xf numFmtId="0" fontId="34" fillId="4" borderId="132" xfId="0" applyNumberFormat="1" applyFont="1" applyFill="1" applyBorder="1"/>
    <x:xf numFmtId="0" fontId="34" fillId="4" borderId="133" xfId="0" applyNumberFormat="1" applyFont="1" applyFill="1" applyBorder="1"/>
    <x:xf numFmtId="0" fontId="34" fillId="4" borderId="134" xfId="0" applyNumberFormat="1" applyFont="1" applyFill="1" applyBorder="1"/>
    <x:xf numFmtId="0" fontId="34" fillId="4" borderId="135" xfId="0" applyNumberFormat="1" applyFont="1" applyFill="1" applyBorder="1"/>
    <x:xf numFmtId="0" fontId="34" fillId="4" borderId="136" xfId="0" applyNumberFormat="1" applyFont="1" applyFill="1" applyBorder="1"/>
    <x:xf numFmtId="0" fontId="34" fillId="4" borderId="129" xfId="0" applyNumberFormat="1" applyFont="1" applyFill="1" applyBorder="1" applyAlignment="1">
      <x:alignment wrapText="1"/>
    </x:xf>
    <x:xf numFmtId="0" fontId="34" fillId="4" borderId="130" xfId="0" applyNumberFormat="1" applyFont="1" applyFill="1" applyBorder="1" applyAlignment="1">
      <x:alignment wrapText="1"/>
    </x:xf>
    <x:xf numFmtId="0" fontId="34" fillId="4" borderId="131" xfId="0" applyNumberFormat="1" applyFont="1" applyFill="1" applyBorder="1" applyAlignment="1">
      <x:alignment wrapText="1"/>
    </x:xf>
    <x:xf numFmtId="0" fontId="34" fillId="4" borderId="132" xfId="0" applyNumberFormat="1" applyFont="1" applyFill="1" applyBorder="1" applyAlignment="1">
      <x:alignment wrapText="1"/>
    </x:xf>
    <x:xf numFmtId="0" fontId="34" fillId="4" borderId="1" xfId="0" applyNumberFormat="1" applyFont="1" applyFill="1" applyBorder="1" applyAlignment="1">
      <x:alignment wrapText="1"/>
    </x:xf>
    <x:xf numFmtId="0" fontId="34" fillId="4" borderId="133" xfId="0" applyNumberFormat="1" applyFont="1" applyFill="1" applyBorder="1" applyAlignment="1">
      <x:alignment wrapText="1"/>
    </x:xf>
    <x:xf numFmtId="0" fontId="34" fillId="4" borderId="134" xfId="0" applyNumberFormat="1" applyFont="1" applyFill="1" applyBorder="1" applyAlignment="1">
      <x:alignment wrapText="1"/>
    </x:xf>
    <x:xf numFmtId="0" fontId="34" fillId="4" borderId="135" xfId="0" applyNumberFormat="1" applyFont="1" applyFill="1" applyBorder="1" applyAlignment="1">
      <x:alignment wrapText="1"/>
    </x:xf>
    <x:xf numFmtId="0" fontId="34" fillId="4" borderId="136" xfId="0" applyNumberFormat="1" applyFont="1" applyFill="1" applyBorder="1" applyAlignment="1">
      <x:alignment wrapText="1"/>
    </x:xf>
    <x:xf numFmtId="0" fontId="34" fillId="4" borderId="129" xfId="0" applyNumberFormat="1" applyFont="1" applyFill="1" applyBorder="1" applyAlignment="1">
      <x:alignment horizontal="center" wrapText="1"/>
    </x:xf>
    <x:xf numFmtId="0" fontId="34" fillId="4" borderId="130" xfId="0" applyNumberFormat="1" applyFont="1" applyFill="1" applyBorder="1" applyAlignment="1">
      <x:alignment horizontal="center" wrapText="1"/>
    </x:xf>
    <x:xf numFmtId="0" fontId="34" fillId="4" borderId="131" xfId="0" applyNumberFormat="1" applyFont="1" applyFill="1" applyBorder="1" applyAlignment="1">
      <x:alignment horizontal="center" wrapText="1"/>
    </x:xf>
    <x:xf numFmtId="0" fontId="34" fillId="4" borderId="132" xfId="0" applyNumberFormat="1" applyFont="1" applyFill="1" applyBorder="1" applyAlignment="1">
      <x:alignment horizontal="center" wrapText="1"/>
    </x:xf>
    <x:xf numFmtId="0" fontId="34" fillId="4" borderId="1" xfId="0" applyNumberFormat="1" applyFont="1" applyFill="1" applyBorder="1" applyAlignment="1">
      <x:alignment horizontal="center" wrapText="1"/>
    </x:xf>
    <x:xf numFmtId="0" fontId="34" fillId="4" borderId="133" xfId="0" applyNumberFormat="1" applyFont="1" applyFill="1" applyBorder="1" applyAlignment="1">
      <x:alignment horizontal="center" wrapText="1"/>
    </x:xf>
    <x:xf numFmtId="0" fontId="34" fillId="4" borderId="134" xfId="0" applyNumberFormat="1" applyFont="1" applyFill="1" applyBorder="1" applyAlignment="1">
      <x:alignment horizontal="center" wrapText="1"/>
    </x:xf>
    <x:xf numFmtId="0" fontId="34" fillId="4" borderId="135" xfId="0" applyNumberFormat="1" applyFont="1" applyFill="1" applyBorder="1" applyAlignment="1">
      <x:alignment horizontal="center" wrapText="1"/>
    </x:xf>
    <x:xf numFmtId="0" fontId="34" fillId="4" borderId="136" xfId="0" applyNumberFormat="1" applyFont="1" applyFill="1" applyBorder="1" applyAlignment="1">
      <x:alignment horizontal="center" wrapText="1"/>
    </x:xf>
    <x:xf numFmtId="0" fontId="34" fillId="4" borderId="129" xfId="0" applyNumberFormat="1" applyFont="1" applyFill="1" applyBorder="1" applyAlignment="1">
      <x:alignment horizontal="center" vertical="center" wrapText="1"/>
    </x:xf>
    <x:xf numFmtId="0" fontId="34" fillId="4" borderId="130" xfId="0" applyNumberFormat="1" applyFont="1" applyFill="1" applyBorder="1" applyAlignment="1">
      <x:alignment horizontal="center" vertical="center" wrapText="1"/>
    </x:xf>
    <x:xf numFmtId="0" fontId="34" fillId="4" borderId="131" xfId="0" applyNumberFormat="1" applyFont="1" applyFill="1" applyBorder="1" applyAlignment="1">
      <x:alignment horizontal="center" vertical="center" wrapText="1"/>
    </x:xf>
    <x:xf numFmtId="0" fontId="34" fillId="4" borderId="132" xfId="0" applyNumberFormat="1" applyFont="1" applyFill="1" applyBorder="1" applyAlignment="1">
      <x:alignment horizontal="center" vertical="center" wrapText="1"/>
    </x:xf>
    <x:xf numFmtId="0" fontId="34" fillId="4" borderId="1" xfId="0" applyNumberFormat="1" applyFont="1" applyFill="1" applyBorder="1" applyAlignment="1">
      <x:alignment horizontal="center" vertical="center" wrapText="1"/>
    </x:xf>
    <x:xf numFmtId="0" fontId="34" fillId="4" borderId="133" xfId="0" applyNumberFormat="1" applyFont="1" applyFill="1" applyBorder="1" applyAlignment="1">
      <x:alignment horizontal="center" vertical="center" wrapText="1"/>
    </x:xf>
    <x:xf numFmtId="0" fontId="34" fillId="4" borderId="134" xfId="0" applyNumberFormat="1" applyFont="1" applyFill="1" applyBorder="1" applyAlignment="1">
      <x:alignment horizontal="center" vertical="center" wrapText="1"/>
    </x:xf>
    <x:xf numFmtId="0" fontId="34" fillId="4" borderId="135" xfId="0" applyNumberFormat="1" applyFont="1" applyFill="1" applyBorder="1" applyAlignment="1">
      <x:alignment horizontal="center" vertical="center" wrapText="1"/>
    </x:xf>
    <x:xf numFmtId="0" fontId="34" fillId="4" borderId="136" xfId="0" applyNumberFormat="1" applyFont="1" applyFill="1" applyBorder="1" applyAlignment="1">
      <x:alignment horizontal="center" vertical="center" wrapText="1"/>
    </x:xf>
    <x:xf numFmtId="0" fontId="33" fillId="6" borderId="2" xfId="0" applyNumberFormat="1" applyFont="1" applyFill="1" applyBorder="1"/>
    <x:xf numFmtId="0" fontId="33" fillId="6" borderId="3" xfId="0" applyNumberFormat="1" applyFont="1" applyFill="1" applyBorder="1"/>
    <x:xf numFmtId="0" fontId="33" fillId="6" borderId="4" xfId="0" applyNumberFormat="1" applyFont="1" applyFill="1" applyBorder="1"/>
    <x:xf numFmtId="0" fontId="33" fillId="6" borderId="5" xfId="0" applyNumberFormat="1" applyFont="1" applyFill="1" applyBorder="1"/>
    <x:xf numFmtId="0" fontId="33" fillId="6" borderId="6" xfId="0" applyNumberFormat="1" applyFont="1" applyFill="1" applyBorder="1"/>
    <x:xf numFmtId="0" fontId="33" fillId="6" borderId="7" xfId="0" applyNumberFormat="1" applyFont="1" applyFill="1" applyBorder="1"/>
    <x:xf numFmtId="0" fontId="33" fillId="6" borderId="8" xfId="0" applyNumberFormat="1" applyFont="1" applyFill="1" applyBorder="1"/>
    <x:xf numFmtId="0" fontId="33" fillId="6" borderId="9" xfId="0" applyNumberFormat="1" applyFont="1" applyFill="1" applyBorder="1"/>
    <x:xf numFmtId="0" fontId="33" fillId="6" borderId="2" xfId="0" applyNumberFormat="1" applyFont="1" applyFill="1" applyBorder="1" applyAlignment="1">
      <x:alignment wrapText="1"/>
    </x:xf>
    <x:xf numFmtId="0" fontId="33" fillId="6" borderId="3" xfId="0" applyNumberFormat="1" applyFont="1" applyFill="1" applyBorder="1" applyAlignment="1">
      <x:alignment wrapText="1"/>
    </x:xf>
    <x:xf numFmtId="0" fontId="33" fillId="6" borderId="4" xfId="0" applyNumberFormat="1" applyFont="1" applyFill="1" applyBorder="1" applyAlignment="1">
      <x:alignment wrapText="1"/>
    </x:xf>
    <x:xf numFmtId="0" fontId="33" fillId="6" borderId="5" xfId="0" applyNumberFormat="1" applyFont="1" applyFill="1" applyBorder="1" applyAlignment="1">
      <x:alignment wrapText="1"/>
    </x:xf>
    <x:xf numFmtId="0" fontId="33" fillId="6" borderId="6" xfId="0" applyNumberFormat="1" applyFont="1" applyFill="1" applyBorder="1" applyAlignment="1">
      <x:alignment wrapText="1"/>
    </x:xf>
    <x:xf numFmtId="0" fontId="33" fillId="6" borderId="7" xfId="0" applyNumberFormat="1" applyFont="1" applyFill="1" applyBorder="1" applyAlignment="1">
      <x:alignment wrapText="1"/>
    </x:xf>
    <x:xf numFmtId="0" fontId="33" fillId="6" borderId="8" xfId="0" applyNumberFormat="1" applyFont="1" applyFill="1" applyBorder="1" applyAlignment="1">
      <x:alignment wrapText="1"/>
    </x:xf>
    <x:xf numFmtId="0" fontId="33" fillId="6" borderId="9" xfId="0" applyNumberFormat="1" applyFont="1" applyFill="1" applyBorder="1" applyAlignment="1">
      <x:alignment wrapText="1"/>
    </x:xf>
    <x:xf numFmtId="0" fontId="33" fillId="6" borderId="2" xfId="0" applyNumberFormat="1" applyFont="1" applyFill="1" applyBorder="1" applyAlignment="1">
      <x:alignment horizontal="center" wrapText="1"/>
    </x:xf>
    <x:xf numFmtId="0" fontId="33" fillId="6" borderId="3" xfId="0" applyNumberFormat="1" applyFont="1" applyFill="1" applyBorder="1" applyAlignment="1">
      <x:alignment horizontal="center" wrapText="1"/>
    </x:xf>
    <x:xf numFmtId="0" fontId="33" fillId="6" borderId="4" xfId="0" applyNumberFormat="1" applyFont="1" applyFill="1" applyBorder="1" applyAlignment="1">
      <x:alignment horizontal="center" wrapText="1"/>
    </x:xf>
    <x:xf numFmtId="0" fontId="33" fillId="6" borderId="5" xfId="0" applyNumberFormat="1" applyFont="1" applyFill="1" applyBorder="1" applyAlignment="1">
      <x:alignment horizontal="center" wrapText="1"/>
    </x:xf>
    <x:xf numFmtId="0" fontId="33" fillId="6" borderId="6" xfId="0" applyNumberFormat="1" applyFont="1" applyFill="1" applyBorder="1" applyAlignment="1">
      <x:alignment horizontal="center" wrapText="1"/>
    </x:xf>
    <x:xf numFmtId="0" fontId="33" fillId="6" borderId="7" xfId="0" applyNumberFormat="1" applyFont="1" applyFill="1" applyBorder="1" applyAlignment="1">
      <x:alignment horizontal="center" wrapText="1"/>
    </x:xf>
    <x:xf numFmtId="0" fontId="33" fillId="6" borderId="8" xfId="0" applyNumberFormat="1" applyFont="1" applyFill="1" applyBorder="1" applyAlignment="1">
      <x:alignment horizontal="center" wrapText="1"/>
    </x:xf>
    <x:xf numFmtId="0" fontId="33" fillId="6" borderId="9" xfId="0" applyNumberFormat="1" applyFont="1" applyFill="1" applyBorder="1" applyAlignment="1">
      <x:alignment horizontal="center" wrapText="1"/>
    </x:xf>
    <x:xf numFmtId="0" fontId="33" fillId="6" borderId="2" xfId="0" applyNumberFormat="1" applyFont="1" applyFill="1" applyBorder="1" applyAlignment="1">
      <x:alignment horizontal="center" vertical="center" wrapText="1"/>
    </x:xf>
    <x:xf numFmtId="0" fontId="33" fillId="6" borderId="3" xfId="0" applyNumberFormat="1" applyFont="1" applyFill="1" applyBorder="1" applyAlignment="1">
      <x:alignment horizontal="center" vertical="center" wrapText="1"/>
    </x:xf>
    <x:xf numFmtId="0" fontId="33" fillId="6" borderId="4" xfId="0" applyNumberFormat="1" applyFont="1" applyFill="1" applyBorder="1" applyAlignment="1">
      <x:alignment horizontal="center" vertical="center" wrapText="1"/>
    </x:xf>
    <x:xf numFmtId="0" fontId="33" fillId="6" borderId="5" xfId="0" applyNumberFormat="1" applyFont="1" applyFill="1" applyBorder="1" applyAlignment="1">
      <x:alignment horizontal="center" vertical="center" wrapText="1"/>
    </x:xf>
    <x:xf numFmtId="0" fontId="33" fillId="6" borderId="6" xfId="0" applyNumberFormat="1" applyFont="1" applyFill="1" applyBorder="1" applyAlignment="1">
      <x:alignment horizontal="center" vertical="center" wrapText="1"/>
    </x:xf>
    <x:xf numFmtId="0" fontId="33" fillId="6" borderId="7" xfId="0" applyNumberFormat="1" applyFont="1" applyFill="1" applyBorder="1" applyAlignment="1">
      <x:alignment horizontal="center" vertical="center" wrapText="1"/>
    </x:xf>
    <x:xf numFmtId="0" fontId="33" fillId="6" borderId="8" xfId="0" applyNumberFormat="1" applyFont="1" applyFill="1" applyBorder="1" applyAlignment="1">
      <x:alignment horizontal="center" vertical="center" wrapText="1"/>
    </x:xf>
    <x:xf numFmtId="0" fontId="33" fillId="6" borderId="9" xfId="0" applyNumberFormat="1" applyFont="1" applyFill="1" applyBorder="1" applyAlignment="1">
      <x:alignment horizontal="center" vertical="center" wrapText="1"/>
    </x:xf>
    <x:xf numFmtId="0" fontId="36" fillId="5" borderId="25" xfId="0" applyNumberFormat="1" applyFont="1" applyFill="1" applyBorder="1" applyAlignment="1">
      <x:alignment horizontal="left" vertical="center" wrapText="1"/>
    </x:xf>
    <x:xf numFmtId="201" fontId="36" fillId="5" borderId="25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horizontal="center" wrapText="1"/>
    </x:xf>
    <x:xf numFmtId="0" fontId="3" fillId="0" borderId="3" xfId="0" applyNumberFormat="1" applyFont="1" applyFill="1" applyBorder="1" applyAlignment="1">
      <x:alignment horizontal="center" wrapText="1"/>
    </x:xf>
    <x:xf numFmtId="0" fontId="3" fillId="0" borderId="4" xfId="0" applyNumberFormat="1" applyFont="1" applyFill="1" applyBorder="1" applyAlignment="1">
      <x:alignment horizontal="center" wrapText="1"/>
    </x:xf>
    <x:xf numFmtId="0" fontId="3" fillId="0" borderId="5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wrapText="1"/>
    </x:xf>
    <x:xf numFmtId="0" fontId="3" fillId="0" borderId="6" xfId="0" applyNumberFormat="1" applyFont="1" applyFill="1" applyBorder="1" applyAlignment="1">
      <x:alignment horizontal="center" wrapText="1"/>
    </x:xf>
    <x:xf numFmtId="0" fontId="3" fillId="0" borderId="7" xfId="0" applyNumberFormat="1" applyFont="1" applyFill="1" applyBorder="1" applyAlignment="1">
      <x:alignment horizontal="center" wrapText="1"/>
    </x:xf>
    <x:xf numFmtId="0" fontId="3" fillId="0" borderId="8" xfId="0" applyNumberFormat="1" applyFont="1" applyFill="1" applyBorder="1" applyAlignment="1">
      <x:alignment horizontal="center" wrapText="1"/>
    </x:xf>
    <x:xf numFmtId="0" fontId="3" fillId="0" borderId="9" xfId="0" applyNumberFormat="1" applyFont="1" applyFill="1" applyBorder="1" applyAlignment="1">
      <x:alignment horizont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horizontal="center" vertical="center" wrapText="1"/>
    </x:xf>
    <x:xf numFmtId="0" fontId="1" fillId="14" borderId="1" xfId="0" applyNumberFormat="1" applyFont="1" applyFill="1" applyBorder="1"/>
    <x:xf numFmtId="0" fontId="37" fillId="14" borderId="1" xfId="0" applyNumberFormat="1" applyFont="1" applyFill="1" applyBorder="1"/>
    <x:xf numFmtId="0" fontId="37" fillId="14" borderId="129" xfId="0" applyNumberFormat="1" applyFont="1" applyFill="1" applyBorder="1"/>
    <x:xf numFmtId="0" fontId="37" fillId="14" borderId="130" xfId="0" applyNumberFormat="1" applyFont="1" applyFill="1" applyBorder="1"/>
    <x:xf numFmtId="0" fontId="37" fillId="14" borderId="131" xfId="0" applyNumberFormat="1" applyFont="1" applyFill="1" applyBorder="1"/>
    <x:xf numFmtId="0" fontId="37" fillId="14" borderId="132" xfId="0" applyNumberFormat="1" applyFont="1" applyFill="1" applyBorder="1"/>
    <x:xf numFmtId="0" fontId="37" fillId="14" borderId="133" xfId="0" applyNumberFormat="1" applyFont="1" applyFill="1" applyBorder="1"/>
    <x:xf numFmtId="0" fontId="37" fillId="14" borderId="134" xfId="0" applyNumberFormat="1" applyFont="1" applyFill="1" applyBorder="1"/>
    <x:xf numFmtId="0" fontId="37" fillId="14" borderId="135" xfId="0" applyNumberFormat="1" applyFont="1" applyFill="1" applyBorder="1"/>
    <x:xf numFmtId="0" fontId="37" fillId="14" borderId="136" xfId="0" applyNumberFormat="1" applyFont="1" applyFill="1" applyBorder="1"/>
    <x:xf numFmtId="0" fontId="37" fillId="14" borderId="129" xfId="0" applyNumberFormat="1" applyFont="1" applyFill="1" applyBorder="1" applyAlignment="1">
      <x:alignment wrapText="1"/>
    </x:xf>
    <x:xf numFmtId="0" fontId="37" fillId="14" borderId="130" xfId="0" applyNumberFormat="1" applyFont="1" applyFill="1" applyBorder="1" applyAlignment="1">
      <x:alignment wrapText="1"/>
    </x:xf>
    <x:xf numFmtId="0" fontId="37" fillId="14" borderId="131" xfId="0" applyNumberFormat="1" applyFont="1" applyFill="1" applyBorder="1" applyAlignment="1">
      <x:alignment wrapText="1"/>
    </x:xf>
    <x:xf numFmtId="0" fontId="37" fillId="14" borderId="132" xfId="0" applyNumberFormat="1" applyFont="1" applyFill="1" applyBorder="1" applyAlignment="1">
      <x:alignment wrapText="1"/>
    </x:xf>
    <x:xf numFmtId="0" fontId="37" fillId="14" borderId="1" xfId="0" applyNumberFormat="1" applyFont="1" applyFill="1" applyBorder="1" applyAlignment="1">
      <x:alignment wrapText="1"/>
    </x:xf>
    <x:xf numFmtId="0" fontId="37" fillId="14" borderId="133" xfId="0" applyNumberFormat="1" applyFont="1" applyFill="1" applyBorder="1" applyAlignment="1">
      <x:alignment wrapText="1"/>
    </x:xf>
    <x:xf numFmtId="0" fontId="37" fillId="14" borderId="134" xfId="0" applyNumberFormat="1" applyFont="1" applyFill="1" applyBorder="1" applyAlignment="1">
      <x:alignment wrapText="1"/>
    </x:xf>
    <x:xf numFmtId="0" fontId="37" fillId="14" borderId="135" xfId="0" applyNumberFormat="1" applyFont="1" applyFill="1" applyBorder="1" applyAlignment="1">
      <x:alignment wrapText="1"/>
    </x:xf>
    <x:xf numFmtId="0" fontId="37" fillId="14" borderId="136" xfId="0" applyNumberFormat="1" applyFont="1" applyFill="1" applyBorder="1" applyAlignment="1">
      <x:alignment wrapText="1"/>
    </x:xf>
    <x:xf numFmtId="0" fontId="37" fillId="14" borderId="129" xfId="0" applyNumberFormat="1" applyFont="1" applyFill="1" applyBorder="1" applyAlignment="1">
      <x:alignment horizontal="left" wrapText="1"/>
    </x:xf>
    <x:xf numFmtId="0" fontId="37" fillId="14" borderId="130" xfId="0" applyNumberFormat="1" applyFont="1" applyFill="1" applyBorder="1" applyAlignment="1">
      <x:alignment horizontal="left" wrapText="1"/>
    </x:xf>
    <x:xf numFmtId="0" fontId="37" fillId="14" borderId="131" xfId="0" applyNumberFormat="1" applyFont="1" applyFill="1" applyBorder="1" applyAlignment="1">
      <x:alignment horizontal="left" wrapText="1"/>
    </x:xf>
    <x:xf numFmtId="0" fontId="37" fillId="14" borderId="132" xfId="0" applyNumberFormat="1" applyFont="1" applyFill="1" applyBorder="1" applyAlignment="1">
      <x:alignment horizontal="left" wrapText="1"/>
    </x:xf>
    <x:xf numFmtId="0" fontId="37" fillId="14" borderId="1" xfId="0" applyNumberFormat="1" applyFont="1" applyFill="1" applyBorder="1" applyAlignment="1">
      <x:alignment horizontal="left" wrapText="1"/>
    </x:xf>
    <x:xf numFmtId="0" fontId="37" fillId="14" borderId="133" xfId="0" applyNumberFormat="1" applyFont="1" applyFill="1" applyBorder="1" applyAlignment="1">
      <x:alignment horizontal="left" wrapText="1"/>
    </x:xf>
    <x:xf numFmtId="0" fontId="37" fillId="14" borderId="134" xfId="0" applyNumberFormat="1" applyFont="1" applyFill="1" applyBorder="1" applyAlignment="1">
      <x:alignment horizontal="left" wrapText="1"/>
    </x:xf>
    <x:xf numFmtId="0" fontId="37" fillId="14" borderId="135" xfId="0" applyNumberFormat="1" applyFont="1" applyFill="1" applyBorder="1" applyAlignment="1">
      <x:alignment horizontal="left" wrapText="1"/>
    </x:xf>
    <x:xf numFmtId="0" fontId="37" fillId="14" borderId="136" xfId="0" applyNumberFormat="1" applyFont="1" applyFill="1" applyBorder="1" applyAlignment="1">
      <x:alignment horizontal="left" wrapText="1"/>
    </x:xf>
    <x:xf numFmtId="0" fontId="37" fillId="14" borderId="129" xfId="0" applyNumberFormat="1" applyFont="1" applyFill="1" applyBorder="1" applyAlignment="1">
      <x:alignment horizontal="left" vertical="top" wrapText="1"/>
    </x:xf>
    <x:xf numFmtId="0" fontId="37" fillId="14" borderId="130" xfId="0" applyNumberFormat="1" applyFont="1" applyFill="1" applyBorder="1" applyAlignment="1">
      <x:alignment horizontal="left" vertical="top" wrapText="1"/>
    </x:xf>
    <x:xf numFmtId="0" fontId="37" fillId="14" borderId="131" xfId="0" applyNumberFormat="1" applyFont="1" applyFill="1" applyBorder="1" applyAlignment="1">
      <x:alignment horizontal="left" vertical="top" wrapText="1"/>
    </x:xf>
    <x:xf numFmtId="0" fontId="37" fillId="14" borderId="132" xfId="0" applyNumberFormat="1" applyFont="1" applyFill="1" applyBorder="1" applyAlignment="1">
      <x:alignment horizontal="left" vertical="top" wrapText="1"/>
    </x:xf>
    <x:xf numFmtId="0" fontId="37" fillId="14" borderId="1" xfId="0" applyNumberFormat="1" applyFont="1" applyFill="1" applyBorder="1" applyAlignment="1">
      <x:alignment horizontal="left" vertical="top" wrapText="1"/>
    </x:xf>
    <x:xf numFmtId="0" fontId="37" fillId="14" borderId="133" xfId="0" applyNumberFormat="1" applyFont="1" applyFill="1" applyBorder="1" applyAlignment="1">
      <x:alignment horizontal="left" vertical="top" wrapText="1"/>
    </x:xf>
    <x:xf numFmtId="0" fontId="37" fillId="14" borderId="134" xfId="0" applyNumberFormat="1" applyFont="1" applyFill="1" applyBorder="1" applyAlignment="1">
      <x:alignment horizontal="left" vertical="top" wrapText="1"/>
    </x:xf>
    <x:xf numFmtId="0" fontId="37" fillId="14" borderId="135" xfId="0" applyNumberFormat="1" applyFont="1" applyFill="1" applyBorder="1" applyAlignment="1">
      <x:alignment horizontal="left" vertical="top" wrapText="1"/>
    </x:xf>
    <x:xf numFmtId="0" fontId="37" fillId="14" borderId="136" xfId="0" applyNumberFormat="1" applyFont="1" applyFill="1" applyBorder="1" applyAlignment="1">
      <x:alignment horizontal="left" vertical="top" wrapText="1"/>
    </x:xf>
    <x:xf numFmtId="0" fontId="1" fillId="8" borderId="1" xfId="0" applyNumberFormat="1" applyFont="1" applyFill="1" applyBorder="1"/>
    <x:xf numFmtId="0" fontId="21" fillId="8" borderId="1" xfId="0" applyNumberFormat="1" applyFont="1" applyFill="1" applyBorder="1"/>
    <x:xf numFmtId="0" fontId="21" fillId="8" borderId="137" xfId="0" applyNumberFormat="1" applyFont="1" applyFill="1" applyBorder="1"/>
    <x:xf numFmtId="0" fontId="21" fillId="8" borderId="138" xfId="0" applyNumberFormat="1" applyFont="1" applyFill="1" applyBorder="1"/>
    <x:xf numFmtId="0" fontId="21" fillId="8" borderId="139" xfId="0" applyNumberFormat="1" applyFont="1" applyFill="1" applyBorder="1"/>
    <x:xf numFmtId="0" fontId="21" fillId="8" borderId="140" xfId="0" applyNumberFormat="1" applyFont="1" applyFill="1" applyBorder="1"/>
    <x:xf numFmtId="0" fontId="21" fillId="8" borderId="141" xfId="0" applyNumberFormat="1" applyFont="1" applyFill="1" applyBorder="1"/>
    <x:xf numFmtId="0" fontId="21" fillId="8" borderId="142" xfId="0" applyNumberFormat="1" applyFont="1" applyFill="1" applyBorder="1"/>
    <x:xf numFmtId="0" fontId="21" fillId="8" borderId="143" xfId="0" applyNumberFormat="1" applyFont="1" applyFill="1" applyBorder="1"/>
    <x:xf numFmtId="0" fontId="21" fillId="8" borderId="144" xfId="0" applyNumberFormat="1" applyFont="1" applyFill="1" applyBorder="1"/>
    <x:xf numFmtId="0" fontId="21" fillId="8" borderId="137" xfId="0" applyNumberFormat="1" applyFont="1" applyFill="1" applyBorder="1" applyAlignment="1">
      <x:alignment wrapText="1"/>
    </x:xf>
    <x:xf numFmtId="0" fontId="21" fillId="8" borderId="138" xfId="0" applyNumberFormat="1" applyFont="1" applyFill="1" applyBorder="1" applyAlignment="1">
      <x:alignment wrapText="1"/>
    </x:xf>
    <x:xf numFmtId="0" fontId="21" fillId="8" borderId="139" xfId="0" applyNumberFormat="1" applyFont="1" applyFill="1" applyBorder="1" applyAlignment="1">
      <x:alignment wrapText="1"/>
    </x:xf>
    <x:xf numFmtId="0" fontId="21" fillId="8" borderId="140" xfId="0" applyNumberFormat="1" applyFont="1" applyFill="1" applyBorder="1" applyAlignment="1">
      <x:alignment wrapText="1"/>
    </x:xf>
    <x:xf numFmtId="0" fontId="21" fillId="8" borderId="1" xfId="0" applyNumberFormat="1" applyFont="1" applyFill="1" applyBorder="1" applyAlignment="1">
      <x:alignment wrapText="1"/>
    </x:xf>
    <x:xf numFmtId="0" fontId="21" fillId="8" borderId="141" xfId="0" applyNumberFormat="1" applyFont="1" applyFill="1" applyBorder="1" applyAlignment="1">
      <x:alignment wrapText="1"/>
    </x:xf>
    <x:xf numFmtId="0" fontId="21" fillId="8" borderId="142" xfId="0" applyNumberFormat="1" applyFont="1" applyFill="1" applyBorder="1" applyAlignment="1">
      <x:alignment wrapText="1"/>
    </x:xf>
    <x:xf numFmtId="0" fontId="21" fillId="8" borderId="143" xfId="0" applyNumberFormat="1" applyFont="1" applyFill="1" applyBorder="1" applyAlignment="1">
      <x:alignment wrapText="1"/>
    </x:xf>
    <x:xf numFmtId="0" fontId="21" fillId="8" borderId="144" xfId="0" applyNumberFormat="1" applyFont="1" applyFill="1" applyBorder="1" applyAlignment="1">
      <x:alignment wrapText="1"/>
    </x:xf>
    <x:xf numFmtId="0" fontId="21" fillId="8" borderId="137" xfId="0" applyNumberFormat="1" applyFont="1" applyFill="1" applyBorder="1" applyAlignment="1">
      <x:alignment horizontal="left" wrapText="1"/>
    </x:xf>
    <x:xf numFmtId="0" fontId="21" fillId="8" borderId="138" xfId="0" applyNumberFormat="1" applyFont="1" applyFill="1" applyBorder="1" applyAlignment="1">
      <x:alignment horizontal="left" wrapText="1"/>
    </x:xf>
    <x:xf numFmtId="0" fontId="21" fillId="8" borderId="139" xfId="0" applyNumberFormat="1" applyFont="1" applyFill="1" applyBorder="1" applyAlignment="1">
      <x:alignment horizontal="left" wrapText="1"/>
    </x:xf>
    <x:xf numFmtId="0" fontId="21" fillId="8" borderId="140" xfId="0" applyNumberFormat="1" applyFont="1" applyFill="1" applyBorder="1" applyAlignment="1">
      <x:alignment horizontal="left" wrapText="1"/>
    </x:xf>
    <x:xf numFmtId="0" fontId="21" fillId="8" borderId="1" xfId="0" applyNumberFormat="1" applyFont="1" applyFill="1" applyBorder="1" applyAlignment="1">
      <x:alignment horizontal="left" wrapText="1"/>
    </x:xf>
    <x:xf numFmtId="0" fontId="21" fillId="8" borderId="141" xfId="0" applyNumberFormat="1" applyFont="1" applyFill="1" applyBorder="1" applyAlignment="1">
      <x:alignment horizontal="left" wrapText="1"/>
    </x:xf>
    <x:xf numFmtId="0" fontId="21" fillId="8" borderId="142" xfId="0" applyNumberFormat="1" applyFont="1" applyFill="1" applyBorder="1" applyAlignment="1">
      <x:alignment horizontal="left" wrapText="1"/>
    </x:xf>
    <x:xf numFmtId="0" fontId="21" fillId="8" borderId="143" xfId="0" applyNumberFormat="1" applyFont="1" applyFill="1" applyBorder="1" applyAlignment="1">
      <x:alignment horizontal="left" wrapText="1"/>
    </x:xf>
    <x:xf numFmtId="0" fontId="21" fillId="8" borderId="144" xfId="0" applyNumberFormat="1" applyFont="1" applyFill="1" applyBorder="1" applyAlignment="1">
      <x:alignment horizontal="left" wrapText="1"/>
    </x:xf>
    <x:xf numFmtId="0" fontId="21" fillId="8" borderId="137" xfId="0" applyNumberFormat="1" applyFont="1" applyFill="1" applyBorder="1" applyAlignment="1">
      <x:alignment horizontal="left" vertical="center" wrapText="1"/>
    </x:xf>
    <x:xf numFmtId="0" fontId="21" fillId="8" borderId="138" xfId="0" applyNumberFormat="1" applyFont="1" applyFill="1" applyBorder="1" applyAlignment="1">
      <x:alignment horizontal="left" vertical="center" wrapText="1"/>
    </x:xf>
    <x:xf numFmtId="0" fontId="21" fillId="8" borderId="139" xfId="0" applyNumberFormat="1" applyFont="1" applyFill="1" applyBorder="1" applyAlignment="1">
      <x:alignment horizontal="left" vertical="center" wrapText="1"/>
    </x:xf>
    <x:xf numFmtId="0" fontId="21" fillId="8" borderId="140" xfId="0" applyNumberFormat="1" applyFont="1" applyFill="1" applyBorder="1" applyAlignment="1">
      <x:alignment horizontal="left" vertical="center" wrapText="1"/>
    </x:xf>
    <x:xf numFmtId="0" fontId="21" fillId="8" borderId="1" xfId="0" applyNumberFormat="1" applyFont="1" applyFill="1" applyBorder="1" applyAlignment="1">
      <x:alignment horizontal="left" vertical="center" wrapText="1"/>
    </x:xf>
    <x:xf numFmtId="0" fontId="21" fillId="8" borderId="141" xfId="0" applyNumberFormat="1" applyFont="1" applyFill="1" applyBorder="1" applyAlignment="1">
      <x:alignment horizontal="left" vertical="center" wrapText="1"/>
    </x:xf>
    <x:xf numFmtId="0" fontId="21" fillId="8" borderId="142" xfId="0" applyNumberFormat="1" applyFont="1" applyFill="1" applyBorder="1" applyAlignment="1">
      <x:alignment horizontal="left" vertical="center" wrapText="1"/>
    </x:xf>
    <x:xf numFmtId="0" fontId="21" fillId="8" borderId="143" xfId="0" applyNumberFormat="1" applyFont="1" applyFill="1" applyBorder="1" applyAlignment="1">
      <x:alignment horizontal="left" vertical="center" wrapText="1"/>
    </x:xf>
    <x:xf numFmtId="0" fontId="21" fillId="8" borderId="144" xfId="0" applyNumberFormat="1" applyFont="1" applyFill="1" applyBorder="1" applyAlignment="1">
      <x:alignment horizontal="left" vertical="center" wrapText="1"/>
    </x:xf>
    <x:xf numFmtId="0" fontId="38" fillId="5" borderId="25" xfId="0" applyNumberFormat="1" applyFont="1" applyFill="1" applyBorder="1" applyAlignment="1">
      <x:alignment horizontal="left" vertical="center" wrapText="1"/>
    </x:xf>
    <x:xf numFmtId="0" fontId="39" fillId="3" borderId="1" xfId="0" applyNumberFormat="1" applyFont="1" applyFill="1" applyBorder="1"/>
    <x:xf numFmtId="0" fontId="39" fillId="3" borderId="2" xfId="0" applyNumberFormat="1" applyFont="1" applyFill="1" applyBorder="1"/>
    <x:xf numFmtId="0" fontId="39" fillId="3" borderId="3" xfId="0" applyNumberFormat="1" applyFont="1" applyFill="1" applyBorder="1"/>
    <x:xf numFmtId="0" fontId="39" fillId="3" borderId="4" xfId="0" applyNumberFormat="1" applyFont="1" applyFill="1" applyBorder="1"/>
    <x:xf numFmtId="0" fontId="39" fillId="3" borderId="7" xfId="0" applyNumberFormat="1" applyFont="1" applyFill="1" applyBorder="1"/>
    <x:xf numFmtId="0" fontId="39" fillId="3" borderId="8" xfId="0" applyNumberFormat="1" applyFont="1" applyFill="1" applyBorder="1"/>
    <x:xf numFmtId="0" fontId="39" fillId="3" borderId="9" xfId="0" applyNumberFormat="1" applyFont="1" applyFill="1" applyBorder="1"/>
    <x:xf numFmtId="0" fontId="39" fillId="3" borderId="2" xfId="0" applyNumberFormat="1" applyFont="1" applyFill="1" applyBorder="1" applyAlignment="1">
      <x:alignment wrapText="1"/>
    </x:xf>
    <x:xf numFmtId="0" fontId="39" fillId="3" borderId="3" xfId="0" applyNumberFormat="1" applyFont="1" applyFill="1" applyBorder="1" applyAlignment="1">
      <x:alignment wrapText="1"/>
    </x:xf>
    <x:xf numFmtId="0" fontId="39" fillId="3" borderId="4" xfId="0" applyNumberFormat="1" applyFont="1" applyFill="1" applyBorder="1" applyAlignment="1">
      <x:alignment wrapText="1"/>
    </x:xf>
    <x:xf numFmtId="0" fontId="39" fillId="3" borderId="7" xfId="0" applyNumberFormat="1" applyFont="1" applyFill="1" applyBorder="1" applyAlignment="1">
      <x:alignment wrapText="1"/>
    </x:xf>
    <x:xf numFmtId="0" fontId="39" fillId="3" borderId="8" xfId="0" applyNumberFormat="1" applyFont="1" applyFill="1" applyBorder="1" applyAlignment="1">
      <x:alignment wrapText="1"/>
    </x:xf>
    <x:xf numFmtId="0" fontId="39" fillId="3" borderId="9" xfId="0" applyNumberFormat="1" applyFont="1" applyFill="1" applyBorder="1" applyAlignment="1">
      <x:alignment wrapText="1"/>
    </x:xf>
    <x:xf numFmtId="0" fontId="39" fillId="3" borderId="2" xfId="0" applyNumberFormat="1" applyFont="1" applyFill="1" applyBorder="1" applyAlignment="1">
      <x:alignment horizontal="center" wrapText="1"/>
    </x:xf>
    <x:xf numFmtId="0" fontId="39" fillId="3" borderId="3" xfId="0" applyNumberFormat="1" applyFont="1" applyFill="1" applyBorder="1" applyAlignment="1">
      <x:alignment horizontal="center" wrapText="1"/>
    </x:xf>
    <x:xf numFmtId="0" fontId="39" fillId="3" borderId="4" xfId="0" applyNumberFormat="1" applyFont="1" applyFill="1" applyBorder="1" applyAlignment="1">
      <x:alignment horizontal="center" wrapText="1"/>
    </x:xf>
    <x:xf numFmtId="0" fontId="39" fillId="3" borderId="7" xfId="0" applyNumberFormat="1" applyFont="1" applyFill="1" applyBorder="1" applyAlignment="1">
      <x:alignment horizontal="center" wrapText="1"/>
    </x:xf>
    <x:xf numFmtId="0" fontId="39" fillId="3" borderId="8" xfId="0" applyNumberFormat="1" applyFont="1" applyFill="1" applyBorder="1" applyAlignment="1">
      <x:alignment horizontal="center" wrapText="1"/>
    </x:xf>
    <x:xf numFmtId="0" fontId="39" fillId="3" borderId="9" xfId="0" applyNumberFormat="1" applyFont="1" applyFill="1" applyBorder="1" applyAlignment="1">
      <x:alignment horizontal="center" wrapText="1"/>
    </x:xf>
    <x:xf numFmtId="0" fontId="39" fillId="3" borderId="2" xfId="0" applyNumberFormat="1" applyFont="1" applyFill="1" applyBorder="1" applyAlignment="1">
      <x:alignment horizontal="center" vertical="center" wrapText="1"/>
    </x:xf>
    <x:xf numFmtId="0" fontId="39" fillId="3" borderId="3" xfId="0" applyNumberFormat="1" applyFont="1" applyFill="1" applyBorder="1" applyAlignment="1">
      <x:alignment horizontal="center" vertical="center" wrapText="1"/>
    </x:xf>
    <x:xf numFmtId="0" fontId="39" fillId="3" borderId="4" xfId="0" applyNumberFormat="1" applyFont="1" applyFill="1" applyBorder="1" applyAlignment="1">
      <x:alignment horizontal="center" vertical="center" wrapText="1"/>
    </x:xf>
    <x:xf numFmtId="0" fontId="39" fillId="3" borderId="7" xfId="0" applyNumberFormat="1" applyFont="1" applyFill="1" applyBorder="1" applyAlignment="1">
      <x:alignment horizontal="center" vertical="center" wrapText="1"/>
    </x:xf>
    <x:xf numFmtId="0" fontId="39" fillId="3" borderId="8" xfId="0" applyNumberFormat="1" applyFont="1" applyFill="1" applyBorder="1" applyAlignment="1">
      <x:alignment horizontal="center" vertical="center" wrapText="1"/>
    </x:xf>
    <x:xf numFmtId="0" fontId="39" fillId="3" borderId="9" xfId="0" applyNumberFormat="1" applyFont="1" applyFill="1" applyBorder="1" applyAlignment="1">
      <x:alignment horizontal="center" vertical="center" wrapText="1"/>
    </x:xf>
    <x:xf numFmtId="0" fontId="22" fillId="0" borderId="1" xfId="0" applyNumberFormat="1" applyFont="1" applyFill="1" applyBorder="1"/>
    <x:xf numFmtId="0" fontId="22" fillId="0" borderId="2" xfId="0" applyNumberFormat="1" applyFont="1" applyFill="1" applyBorder="1"/>
    <x:xf numFmtId="0" fontId="22" fillId="0" borderId="3" xfId="0" applyNumberFormat="1" applyFont="1" applyFill="1" applyBorder="1"/>
    <x:xf numFmtId="0" fontId="22" fillId="0" borderId="4" xfId="0" applyNumberFormat="1" applyFont="1" applyFill="1" applyBorder="1"/>
    <x:xf numFmtId="0" fontId="22" fillId="0" borderId="5" xfId="0" applyNumberFormat="1" applyFont="1" applyFill="1" applyBorder="1"/>
    <x:xf numFmtId="0" fontId="22" fillId="0" borderId="6" xfId="0" applyNumberFormat="1" applyFont="1" applyFill="1" applyBorder="1"/>
    <x:xf numFmtId="0" fontId="22" fillId="0" borderId="7" xfId="0" applyNumberFormat="1" applyFont="1" applyFill="1" applyBorder="1"/>
    <x:xf numFmtId="0" fontId="22" fillId="0" borderId="8" xfId="0" applyNumberFormat="1" applyFont="1" applyFill="1" applyBorder="1"/>
    <x:xf numFmtId="0" fontId="22" fillId="0" borderId="9" xfId="0" applyNumberFormat="1" applyFont="1" applyFill="1" applyBorder="1"/>
    <x:xf numFmtId="0" fontId="22" fillId="0" borderId="2" xfId="0" applyNumberFormat="1" applyFont="1" applyFill="1" applyBorder="1" applyAlignment="1">
      <x:alignment wrapText="1"/>
    </x:xf>
    <x:xf numFmtId="0" fontId="22" fillId="0" borderId="3" xfId="0" applyNumberFormat="1" applyFont="1" applyFill="1" applyBorder="1" applyAlignment="1">
      <x:alignment wrapText="1"/>
    </x:xf>
    <x:xf numFmtId="0" fontId="22" fillId="0" borderId="4" xfId="0" applyNumberFormat="1" applyFont="1" applyFill="1" applyBorder="1" applyAlignment="1">
      <x:alignment wrapText="1"/>
    </x:xf>
    <x:xf numFmtId="0" fontId="22" fillId="0" borderId="5" xfId="0" applyNumberFormat="1" applyFont="1" applyFill="1" applyBorder="1" applyAlignment="1">
      <x:alignment wrapText="1"/>
    </x:xf>
    <x:xf numFmtId="0" fontId="22" fillId="0" borderId="1" xfId="0" applyNumberFormat="1" applyFont="1" applyFill="1" applyBorder="1" applyAlignment="1">
      <x:alignment wrapText="1"/>
    </x:xf>
    <x:xf numFmtId="0" fontId="22" fillId="0" borderId="6" xfId="0" applyNumberFormat="1" applyFont="1" applyFill="1" applyBorder="1" applyAlignment="1">
      <x:alignment wrapText="1"/>
    </x:xf>
    <x:xf numFmtId="0" fontId="22" fillId="0" borderId="7" xfId="0" applyNumberFormat="1" applyFont="1" applyFill="1" applyBorder="1" applyAlignment="1">
      <x:alignment wrapText="1"/>
    </x:xf>
    <x:xf numFmtId="0" fontId="22" fillId="0" borderId="8" xfId="0" applyNumberFormat="1" applyFont="1" applyFill="1" applyBorder="1" applyAlignment="1">
      <x:alignment wrapText="1"/>
    </x:xf>
    <x:xf numFmtId="0" fontId="22" fillId="0" borderId="9" xfId="0" applyNumberFormat="1" applyFont="1" applyFill="1" applyBorder="1" applyAlignment="1">
      <x:alignment wrapText="1"/>
    </x:xf>
    <x:xf numFmtId="0" fontId="22" fillId="0" borderId="2" xfId="0" applyNumberFormat="1" applyFont="1" applyFill="1" applyBorder="1" applyAlignment="1">
      <x:alignment horizontal="center" wrapText="1"/>
    </x:xf>
    <x:xf numFmtId="0" fontId="22" fillId="0" borderId="3" xfId="0" applyNumberFormat="1" applyFont="1" applyFill="1" applyBorder="1" applyAlignment="1">
      <x:alignment horizontal="center" wrapText="1"/>
    </x:xf>
    <x:xf numFmtId="0" fontId="22" fillId="0" borderId="4" xfId="0" applyNumberFormat="1" applyFont="1" applyFill="1" applyBorder="1" applyAlignment="1">
      <x:alignment horizontal="center" wrapText="1"/>
    </x:xf>
    <x:xf numFmtId="0" fontId="22" fillId="0" borderId="5" xfId="0" applyNumberFormat="1" applyFont="1" applyFill="1" applyBorder="1" applyAlignment="1">
      <x:alignment horizontal="center" wrapText="1"/>
    </x:xf>
    <x:xf numFmtId="0" fontId="22" fillId="0" borderId="1" xfId="0" applyNumberFormat="1" applyFont="1" applyFill="1" applyBorder="1" applyAlignment="1">
      <x:alignment horizontal="center" wrapText="1"/>
    </x:xf>
    <x:xf numFmtId="0" fontId="22" fillId="0" borderId="6" xfId="0" applyNumberFormat="1" applyFont="1" applyFill="1" applyBorder="1" applyAlignment="1">
      <x:alignment horizontal="center" wrapText="1"/>
    </x:xf>
    <x:xf numFmtId="0" fontId="22" fillId="0" borderId="7" xfId="0" applyNumberFormat="1" applyFont="1" applyFill="1" applyBorder="1" applyAlignment="1">
      <x:alignment horizontal="center" wrapText="1"/>
    </x:xf>
    <x:xf numFmtId="0" fontId="22" fillId="0" borderId="8" xfId="0" applyNumberFormat="1" applyFont="1" applyFill="1" applyBorder="1" applyAlignment="1">
      <x:alignment horizontal="center" wrapText="1"/>
    </x:xf>
    <x:xf numFmtId="0" fontId="22" fillId="0" borderId="9" xfId="0" applyNumberFormat="1" applyFont="1" applyFill="1" applyBorder="1" applyAlignment="1">
      <x:alignment horizontal="center" wrapText="1"/>
    </x:xf>
    <x:xf numFmtId="0" fontId="22" fillId="0" borderId="2" xfId="0" applyNumberFormat="1" applyFont="1" applyFill="1" applyBorder="1" applyAlignment="1">
      <x:alignment horizontal="center" vertical="center" wrapText="1"/>
    </x:xf>
    <x:xf numFmtId="0" fontId="22" fillId="0" borderId="3" xfId="0" applyNumberFormat="1" applyFont="1" applyFill="1" applyBorder="1" applyAlignment="1">
      <x:alignment horizontal="center" vertical="center" wrapText="1"/>
    </x:xf>
    <x:xf numFmtId="0" fontId="22" fillId="0" borderId="4" xfId="0" applyNumberFormat="1" applyFont="1" applyFill="1" applyBorder="1" applyAlignment="1">
      <x:alignment horizontal="center" vertical="center" wrapText="1"/>
    </x:xf>
    <x:xf numFmtId="0" fontId="22" fillId="0" borderId="5" xfId="0" applyNumberFormat="1" applyFont="1" applyFill="1" applyBorder="1" applyAlignment="1">
      <x:alignment horizontal="center" vertical="center" wrapText="1"/>
    </x:xf>
    <x:xf numFmtId="0" fontId="22" fillId="0" borderId="1" xfId="0" applyNumberFormat="1" applyFont="1" applyFill="1" applyBorder="1" applyAlignment="1">
      <x:alignment horizontal="center" vertical="center" wrapText="1"/>
    </x:xf>
    <x:xf numFmtId="0" fontId="22" fillId="0" borderId="6" xfId="0" applyNumberFormat="1" applyFont="1" applyFill="1" applyBorder="1" applyAlignment="1">
      <x:alignment horizontal="center" vertical="center" wrapText="1"/>
    </x:xf>
    <x:xf numFmtId="0" fontId="22" fillId="0" borderId="7" xfId="0" applyNumberFormat="1" applyFont="1" applyFill="1" applyBorder="1" applyAlignment="1">
      <x:alignment horizontal="center" vertical="center" wrapText="1"/>
    </x:xf>
    <x:xf numFmtId="0" fontId="22" fillId="0" borderId="8" xfId="0" applyNumberFormat="1" applyFont="1" applyFill="1" applyBorder="1" applyAlignment="1">
      <x:alignment horizontal="center" vertical="center" wrapText="1"/>
    </x:xf>
    <x:xf numFmtId="0" fontId="22" fillId="0" borderId="9" xfId="0" applyNumberFormat="1" applyFont="1" applyFill="1" applyBorder="1" applyAlignment="1">
      <x:alignment horizontal="center" vertical="center" wrapText="1"/>
    </x:xf>
    <x:xf numFmtId="0" fontId="40" fillId="9" borderId="1" xfId="0" applyNumberFormat="1" applyFont="1" applyFill="1" applyBorder="1"/>
    <x:xf numFmtId="0" fontId="40" fillId="9" borderId="103" xfId="0" applyNumberFormat="1" applyFont="1" applyFill="1" applyBorder="1"/>
    <x:xf numFmtId="0" fontId="40" fillId="9" borderId="104" xfId="0" applyNumberFormat="1" applyFont="1" applyFill="1" applyBorder="1"/>
    <x:xf numFmtId="0" fontId="40" fillId="9" borderId="105" xfId="0" applyNumberFormat="1" applyFont="1" applyFill="1" applyBorder="1"/>
    <x:xf numFmtId="0" fontId="40" fillId="9" borderId="108" xfId="0" applyNumberFormat="1" applyFont="1" applyFill="1" applyBorder="1"/>
    <x:xf numFmtId="0" fontId="40" fillId="9" borderId="109" xfId="0" applyNumberFormat="1" applyFont="1" applyFill="1" applyBorder="1"/>
    <x:xf numFmtId="0" fontId="40" fillId="9" borderId="110" xfId="0" applyNumberFormat="1" applyFont="1" applyFill="1" applyBorder="1"/>
    <x:xf numFmtId="0" fontId="40" fillId="9" borderId="103" xfId="0" applyNumberFormat="1" applyFont="1" applyFill="1" applyBorder="1" applyAlignment="1">
      <x:alignment wrapText="1"/>
    </x:xf>
    <x:xf numFmtId="0" fontId="40" fillId="9" borderId="104" xfId="0" applyNumberFormat="1" applyFont="1" applyFill="1" applyBorder="1" applyAlignment="1">
      <x:alignment wrapText="1"/>
    </x:xf>
    <x:xf numFmtId="0" fontId="40" fillId="9" borderId="105" xfId="0" applyNumberFormat="1" applyFont="1" applyFill="1" applyBorder="1" applyAlignment="1">
      <x:alignment wrapText="1"/>
    </x:xf>
    <x:xf numFmtId="0" fontId="40" fillId="9" borderId="108" xfId="0" applyNumberFormat="1" applyFont="1" applyFill="1" applyBorder="1" applyAlignment="1">
      <x:alignment wrapText="1"/>
    </x:xf>
    <x:xf numFmtId="0" fontId="40" fillId="9" borderId="109" xfId="0" applyNumberFormat="1" applyFont="1" applyFill="1" applyBorder="1" applyAlignment="1">
      <x:alignment wrapText="1"/>
    </x:xf>
    <x:xf numFmtId="0" fontId="40" fillId="9" borderId="110" xfId="0" applyNumberFormat="1" applyFont="1" applyFill="1" applyBorder="1" applyAlignment="1">
      <x:alignment wrapText="1"/>
    </x:xf>
    <x:xf numFmtId="0" fontId="40" fillId="9" borderId="103" xfId="0" applyNumberFormat="1" applyFont="1" applyFill="1" applyBorder="1" applyAlignment="1">
      <x:alignment horizontal="center" wrapText="1"/>
    </x:xf>
    <x:xf numFmtId="0" fontId="40" fillId="9" borderId="104" xfId="0" applyNumberFormat="1" applyFont="1" applyFill="1" applyBorder="1" applyAlignment="1">
      <x:alignment horizontal="center" wrapText="1"/>
    </x:xf>
    <x:xf numFmtId="0" fontId="40" fillId="9" borderId="105" xfId="0" applyNumberFormat="1" applyFont="1" applyFill="1" applyBorder="1" applyAlignment="1">
      <x:alignment horizontal="center" wrapText="1"/>
    </x:xf>
    <x:xf numFmtId="0" fontId="40" fillId="9" borderId="108" xfId="0" applyNumberFormat="1" applyFont="1" applyFill="1" applyBorder="1" applyAlignment="1">
      <x:alignment horizontal="center" wrapText="1"/>
    </x:xf>
    <x:xf numFmtId="0" fontId="40" fillId="9" borderId="109" xfId="0" applyNumberFormat="1" applyFont="1" applyFill="1" applyBorder="1" applyAlignment="1">
      <x:alignment horizontal="center" wrapText="1"/>
    </x:xf>
    <x:xf numFmtId="0" fontId="40" fillId="9" borderId="110" xfId="0" applyNumberFormat="1" applyFont="1" applyFill="1" applyBorder="1" applyAlignment="1">
      <x:alignment horizontal="center" wrapText="1"/>
    </x:xf>
    <x:xf numFmtId="0" fontId="40" fillId="9" borderId="103" xfId="0" applyNumberFormat="1" applyFont="1" applyFill="1" applyBorder="1" applyAlignment="1">
      <x:alignment horizontal="center" vertical="center" wrapText="1"/>
    </x:xf>
    <x:xf numFmtId="0" fontId="40" fillId="9" borderId="104" xfId="0" applyNumberFormat="1" applyFont="1" applyFill="1" applyBorder="1" applyAlignment="1">
      <x:alignment horizontal="center" vertical="center" wrapText="1"/>
    </x:xf>
    <x:xf numFmtId="0" fontId="40" fillId="9" borderId="105" xfId="0" applyNumberFormat="1" applyFont="1" applyFill="1" applyBorder="1" applyAlignment="1">
      <x:alignment horizontal="center" vertical="center" wrapText="1"/>
    </x:xf>
    <x:xf numFmtId="0" fontId="40" fillId="9" borderId="108" xfId="0" applyNumberFormat="1" applyFont="1" applyFill="1" applyBorder="1" applyAlignment="1">
      <x:alignment horizontal="center" vertical="center" wrapText="1"/>
    </x:xf>
    <x:xf numFmtId="0" fontId="40" fillId="9" borderId="109" xfId="0" applyNumberFormat="1" applyFont="1" applyFill="1" applyBorder="1" applyAlignment="1">
      <x:alignment horizontal="center" vertical="center" wrapText="1"/>
    </x:xf>
    <x:xf numFmtId="0" fontId="40" fillId="9" borderId="110" xfId="0" applyNumberFormat="1" applyFont="1" applyFill="1" applyBorder="1" applyAlignment="1">
      <x:alignment horizontal="center" vertical="center" wrapText="1"/>
    </x:xf>
    <x:xf numFmtId="0" fontId="23" fillId="0" borderId="1" xfId="0" applyNumberFormat="1" applyFont="1" applyFill="1" applyBorder="1"/>
    <x:xf numFmtId="0" fontId="23" fillId="0" borderId="103" xfId="0" applyNumberFormat="1" applyFont="1" applyFill="1" applyBorder="1"/>
    <x:xf numFmtId="0" fontId="23" fillId="0" borderId="104" xfId="0" applyNumberFormat="1" applyFont="1" applyFill="1" applyBorder="1"/>
    <x:xf numFmtId="0" fontId="23" fillId="0" borderId="105" xfId="0" applyNumberFormat="1" applyFont="1" applyFill="1" applyBorder="1"/>
    <x:xf numFmtId="0" fontId="23" fillId="0" borderId="106" xfId="0" applyNumberFormat="1" applyFont="1" applyFill="1" applyBorder="1"/>
    <x:xf numFmtId="0" fontId="23" fillId="0" borderId="107" xfId="0" applyNumberFormat="1" applyFont="1" applyFill="1" applyBorder="1"/>
    <x:xf numFmtId="0" fontId="23" fillId="0" borderId="108" xfId="0" applyNumberFormat="1" applyFont="1" applyFill="1" applyBorder="1"/>
    <x:xf numFmtId="0" fontId="23" fillId="0" borderId="109" xfId="0" applyNumberFormat="1" applyFont="1" applyFill="1" applyBorder="1"/>
    <x:xf numFmtId="0" fontId="23" fillId="0" borderId="110" xfId="0" applyNumberFormat="1" applyFont="1" applyFill="1" applyBorder="1"/>
    <x:xf numFmtId="0" fontId="23" fillId="0" borderId="103" xfId="0" applyNumberFormat="1" applyFont="1" applyFill="1" applyBorder="1" applyAlignment="1">
      <x:alignment wrapText="1"/>
    </x:xf>
    <x:xf numFmtId="0" fontId="23" fillId="0" borderId="104" xfId="0" applyNumberFormat="1" applyFont="1" applyFill="1" applyBorder="1" applyAlignment="1">
      <x:alignment wrapText="1"/>
    </x:xf>
    <x:xf numFmtId="0" fontId="23" fillId="0" borderId="105" xfId="0" applyNumberFormat="1" applyFont="1" applyFill="1" applyBorder="1" applyAlignment="1">
      <x:alignment wrapText="1"/>
    </x:xf>
    <x:xf numFmtId="0" fontId="23" fillId="0" borderId="106" xfId="0" applyNumberFormat="1" applyFont="1" applyFill="1" applyBorder="1" applyAlignment="1">
      <x:alignment wrapText="1"/>
    </x:xf>
    <x:xf numFmtId="0" fontId="23" fillId="0" borderId="1" xfId="0" applyNumberFormat="1" applyFont="1" applyFill="1" applyBorder="1" applyAlignment="1">
      <x:alignment wrapText="1"/>
    </x:xf>
    <x:xf numFmtId="0" fontId="23" fillId="0" borderId="107" xfId="0" applyNumberFormat="1" applyFont="1" applyFill="1" applyBorder="1" applyAlignment="1">
      <x:alignment wrapText="1"/>
    </x:xf>
    <x:xf numFmtId="0" fontId="23" fillId="0" borderId="108" xfId="0" applyNumberFormat="1" applyFont="1" applyFill="1" applyBorder="1" applyAlignment="1">
      <x:alignment wrapText="1"/>
    </x:xf>
    <x:xf numFmtId="0" fontId="23" fillId="0" borderId="109" xfId="0" applyNumberFormat="1" applyFont="1" applyFill="1" applyBorder="1" applyAlignment="1">
      <x:alignment wrapText="1"/>
    </x:xf>
    <x:xf numFmtId="0" fontId="23" fillId="0" borderId="110" xfId="0" applyNumberFormat="1" applyFont="1" applyFill="1" applyBorder="1" applyAlignment="1">
      <x:alignment wrapText="1"/>
    </x:xf>
    <x:xf numFmtId="0" fontId="23" fillId="0" borderId="103" xfId="0" applyNumberFormat="1" applyFont="1" applyFill="1" applyBorder="1" applyAlignment="1">
      <x:alignment horizontal="center" wrapText="1"/>
    </x:xf>
    <x:xf numFmtId="0" fontId="23" fillId="0" borderId="104" xfId="0" applyNumberFormat="1" applyFont="1" applyFill="1" applyBorder="1" applyAlignment="1">
      <x:alignment horizontal="center" wrapText="1"/>
    </x:xf>
    <x:xf numFmtId="0" fontId="23" fillId="0" borderId="105" xfId="0" applyNumberFormat="1" applyFont="1" applyFill="1" applyBorder="1" applyAlignment="1">
      <x:alignment horizontal="center" wrapText="1"/>
    </x:xf>
    <x:xf numFmtId="0" fontId="23" fillId="0" borderId="106" xfId="0" applyNumberFormat="1" applyFont="1" applyFill="1" applyBorder="1" applyAlignment="1">
      <x:alignment horizontal="center" wrapText="1"/>
    </x:xf>
    <x:xf numFmtId="0" fontId="23" fillId="0" borderId="1" xfId="0" applyNumberFormat="1" applyFont="1" applyFill="1" applyBorder="1" applyAlignment="1">
      <x:alignment horizontal="center" wrapText="1"/>
    </x:xf>
    <x:xf numFmtId="0" fontId="23" fillId="0" borderId="107" xfId="0" applyNumberFormat="1" applyFont="1" applyFill="1" applyBorder="1" applyAlignment="1">
      <x:alignment horizontal="center" wrapText="1"/>
    </x:xf>
    <x:xf numFmtId="0" fontId="23" fillId="0" borderId="108" xfId="0" applyNumberFormat="1" applyFont="1" applyFill="1" applyBorder="1" applyAlignment="1">
      <x:alignment horizontal="center" wrapText="1"/>
    </x:xf>
    <x:xf numFmtId="0" fontId="23" fillId="0" borderId="109" xfId="0" applyNumberFormat="1" applyFont="1" applyFill="1" applyBorder="1" applyAlignment="1">
      <x:alignment horizontal="center" wrapText="1"/>
    </x:xf>
    <x:xf numFmtId="0" fontId="23" fillId="0" borderId="110" xfId="0" applyNumberFormat="1" applyFont="1" applyFill="1" applyBorder="1" applyAlignment="1">
      <x:alignment horizontal="center" wrapText="1"/>
    </x:xf>
    <x:xf numFmtId="0" fontId="23" fillId="0" borderId="103" xfId="0" applyNumberFormat="1" applyFont="1" applyFill="1" applyBorder="1" applyAlignment="1">
      <x:alignment horizontal="center" vertical="center" wrapText="1"/>
    </x:xf>
    <x:xf numFmtId="0" fontId="23" fillId="0" borderId="104" xfId="0" applyNumberFormat="1" applyFont="1" applyFill="1" applyBorder="1" applyAlignment="1">
      <x:alignment horizontal="center" vertical="center" wrapText="1"/>
    </x:xf>
    <x:xf numFmtId="0" fontId="23" fillId="0" borderId="105" xfId="0" applyNumberFormat="1" applyFont="1" applyFill="1" applyBorder="1" applyAlignment="1">
      <x:alignment horizontal="center" vertical="center" wrapText="1"/>
    </x:xf>
    <x:xf numFmtId="0" fontId="23" fillId="0" borderId="106" xfId="0" applyNumberFormat="1" applyFont="1" applyFill="1" applyBorder="1" applyAlignment="1">
      <x:alignment horizontal="center" vertical="center" wrapText="1"/>
    </x:xf>
    <x:xf numFmtId="0" fontId="23" fillId="0" borderId="1" xfId="0" applyNumberFormat="1" applyFont="1" applyFill="1" applyBorder="1" applyAlignment="1">
      <x:alignment horizontal="center" vertical="center" wrapText="1"/>
    </x:xf>
    <x:xf numFmtId="0" fontId="23" fillId="0" borderId="107" xfId="0" applyNumberFormat="1" applyFont="1" applyFill="1" applyBorder="1" applyAlignment="1">
      <x:alignment horizontal="center" vertical="center" wrapText="1"/>
    </x:xf>
    <x:xf numFmtId="0" fontId="23" fillId="0" borderId="108" xfId="0" applyNumberFormat="1" applyFont="1" applyFill="1" applyBorder="1" applyAlignment="1">
      <x:alignment horizontal="center" vertical="center" wrapText="1"/>
    </x:xf>
    <x:xf numFmtId="0" fontId="23" fillId="0" borderId="109" xfId="0" applyNumberFormat="1" applyFont="1" applyFill="1" applyBorder="1" applyAlignment="1">
      <x:alignment horizontal="center" vertical="center" wrapText="1"/>
    </x:xf>
    <x:xf numFmtId="0" fontId="23" fillId="0" borderId="110" xfId="0" applyNumberFormat="1" applyFont="1" applyFill="1" applyBorder="1" applyAlignment="1">
      <x:alignment horizontal="center" vertical="center" wrapText="1"/>
    </x:xf>
    <x:xf numFmtId="0" fontId="25" fillId="10" borderId="73" xfId="0" applyNumberFormat="1" applyFont="1" applyFill="1" applyBorder="1" applyAlignment="1">
      <x:alignment horizontal="center" wrapText="1"/>
    </x:xf>
    <x:xf numFmtId="0" fontId="25" fillId="10" borderId="74" xfId="0" applyNumberFormat="1" applyFont="1" applyFill="1" applyBorder="1" applyAlignment="1">
      <x:alignment horizontal="center" wrapText="1"/>
    </x:xf>
    <x:xf numFmtId="0" fontId="25" fillId="10" borderId="75" xfId="0" applyNumberFormat="1" applyFont="1" applyFill="1" applyBorder="1" applyAlignment="1">
      <x:alignment horizontal="center" wrapText="1"/>
    </x:xf>
    <x:xf numFmtId="0" fontId="25" fillId="10" borderId="78" xfId="0" applyNumberFormat="1" applyFont="1" applyFill="1" applyBorder="1" applyAlignment="1">
      <x:alignment horizontal="center" wrapText="1"/>
    </x:xf>
    <x:xf numFmtId="0" fontId="25" fillId="10" borderId="79" xfId="0" applyNumberFormat="1" applyFont="1" applyFill="1" applyBorder="1" applyAlignment="1">
      <x:alignment horizontal="center" wrapText="1"/>
    </x:xf>
    <x:xf numFmtId="0" fontId="25" fillId="10" borderId="80" xfId="0" applyNumberFormat="1" applyFont="1" applyFill="1" applyBorder="1" applyAlignment="1">
      <x:alignment horizontal="center" wrapText="1"/>
    </x:xf>
    <x:xf numFmtId="0" fontId="25" fillId="10" borderId="73" xfId="0" applyNumberFormat="1" applyFont="1" applyFill="1" applyBorder="1" applyAlignment="1">
      <x:alignment horizontal="center" vertical="center" wrapText="1"/>
    </x:xf>
    <x:xf numFmtId="0" fontId="25" fillId="10" borderId="74" xfId="0" applyNumberFormat="1" applyFont="1" applyFill="1" applyBorder="1" applyAlignment="1">
      <x:alignment horizontal="center" vertical="center" wrapText="1"/>
    </x:xf>
    <x:xf numFmtId="0" fontId="25" fillId="10" borderId="75" xfId="0" applyNumberFormat="1" applyFont="1" applyFill="1" applyBorder="1" applyAlignment="1">
      <x:alignment horizontal="center" vertical="center" wrapText="1"/>
    </x:xf>
    <x:xf numFmtId="0" fontId="25" fillId="10" borderId="78" xfId="0" applyNumberFormat="1" applyFont="1" applyFill="1" applyBorder="1" applyAlignment="1">
      <x:alignment horizontal="center" vertical="center" wrapText="1"/>
    </x:xf>
    <x:xf numFmtId="0" fontId="25" fillId="10" borderId="79" xfId="0" applyNumberFormat="1" applyFont="1" applyFill="1" applyBorder="1" applyAlignment="1">
      <x:alignment horizontal="center" vertical="center" wrapText="1"/>
    </x:xf>
    <x:xf numFmtId="0" fontId="25" fillId="10" borderId="80" xfId="0" applyNumberFormat="1" applyFont="1" applyFill="1" applyBorder="1" applyAlignment="1">
      <x:alignment horizontal="center" vertical="center" wrapText="1"/>
    </x:xf>
    <x:xf numFmtId="0" fontId="41" fillId="0" borderId="1" xfId="0" applyNumberFormat="1" applyFont="1" applyFill="1" applyBorder="1"/>
    <x:xf numFmtId="0" fontId="41" fillId="0" borderId="73" xfId="0" applyNumberFormat="1" applyFont="1" applyFill="1" applyBorder="1"/>
    <x:xf numFmtId="0" fontId="41" fillId="0" borderId="74" xfId="0" applyNumberFormat="1" applyFont="1" applyFill="1" applyBorder="1"/>
    <x:xf numFmtId="0" fontId="41" fillId="0" borderId="75" xfId="0" applyNumberFormat="1" applyFont="1" applyFill="1" applyBorder="1"/>
    <x:xf numFmtId="0" fontId="41" fillId="0" borderId="76" xfId="0" applyNumberFormat="1" applyFont="1" applyFill="1" applyBorder="1"/>
    <x:xf numFmtId="0" fontId="41" fillId="0" borderId="77" xfId="0" applyNumberFormat="1" applyFont="1" applyFill="1" applyBorder="1"/>
    <x:xf numFmtId="0" fontId="41" fillId="0" borderId="78" xfId="0" applyNumberFormat="1" applyFont="1" applyFill="1" applyBorder="1"/>
    <x:xf numFmtId="0" fontId="41" fillId="0" borderId="79" xfId="0" applyNumberFormat="1" applyFont="1" applyFill="1" applyBorder="1"/>
    <x:xf numFmtId="0" fontId="41" fillId="0" borderId="80" xfId="0" applyNumberFormat="1" applyFont="1" applyFill="1" applyBorder="1"/>
    <x:xf numFmtId="0" fontId="41" fillId="0" borderId="73" xfId="0" applyNumberFormat="1" applyFont="1" applyFill="1" applyBorder="1" applyAlignment="1">
      <x:alignment wrapText="1"/>
    </x:xf>
    <x:xf numFmtId="0" fontId="41" fillId="0" borderId="74" xfId="0" applyNumberFormat="1" applyFont="1" applyFill="1" applyBorder="1" applyAlignment="1">
      <x:alignment wrapText="1"/>
    </x:xf>
    <x:xf numFmtId="0" fontId="41" fillId="0" borderId="75" xfId="0" applyNumberFormat="1" applyFont="1" applyFill="1" applyBorder="1" applyAlignment="1">
      <x:alignment wrapText="1"/>
    </x:xf>
    <x:xf numFmtId="0" fontId="41" fillId="0" borderId="76" xfId="0" applyNumberFormat="1" applyFont="1" applyFill="1" applyBorder="1" applyAlignment="1">
      <x:alignment wrapText="1"/>
    </x:xf>
    <x:xf numFmtId="0" fontId="41" fillId="0" borderId="1" xfId="0" applyNumberFormat="1" applyFont="1" applyFill="1" applyBorder="1" applyAlignment="1">
      <x:alignment wrapText="1"/>
    </x:xf>
    <x:xf numFmtId="0" fontId="41" fillId="0" borderId="77" xfId="0" applyNumberFormat="1" applyFont="1" applyFill="1" applyBorder="1" applyAlignment="1">
      <x:alignment wrapText="1"/>
    </x:xf>
    <x:xf numFmtId="0" fontId="41" fillId="0" borderId="78" xfId="0" applyNumberFormat="1" applyFont="1" applyFill="1" applyBorder="1" applyAlignment="1">
      <x:alignment wrapText="1"/>
    </x:xf>
    <x:xf numFmtId="0" fontId="41" fillId="0" borderId="79" xfId="0" applyNumberFormat="1" applyFont="1" applyFill="1" applyBorder="1" applyAlignment="1">
      <x:alignment wrapText="1"/>
    </x:xf>
    <x:xf numFmtId="0" fontId="41" fillId="0" borderId="80" xfId="0" applyNumberFormat="1" applyFont="1" applyFill="1" applyBorder="1" applyAlignment="1">
      <x:alignment wrapText="1"/>
    </x:xf>
    <x:xf numFmtId="0" fontId="41" fillId="0" borderId="73" xfId="0" applyNumberFormat="1" applyFont="1" applyFill="1" applyBorder="1" applyAlignment="1">
      <x:alignment horizontal="center" wrapText="1"/>
    </x:xf>
    <x:xf numFmtId="0" fontId="41" fillId="0" borderId="74" xfId="0" applyNumberFormat="1" applyFont="1" applyFill="1" applyBorder="1" applyAlignment="1">
      <x:alignment horizontal="center" wrapText="1"/>
    </x:xf>
    <x:xf numFmtId="0" fontId="41" fillId="0" borderId="75" xfId="0" applyNumberFormat="1" applyFont="1" applyFill="1" applyBorder="1" applyAlignment="1">
      <x:alignment horizontal="center" wrapText="1"/>
    </x:xf>
    <x:xf numFmtId="0" fontId="41" fillId="0" borderId="76" xfId="0" applyNumberFormat="1" applyFont="1" applyFill="1" applyBorder="1" applyAlignment="1">
      <x:alignment horizontal="center" wrapText="1"/>
    </x:xf>
    <x:xf numFmtId="0" fontId="41" fillId="0" borderId="1" xfId="0" applyNumberFormat="1" applyFont="1" applyFill="1" applyBorder="1" applyAlignment="1">
      <x:alignment horizontal="center" wrapText="1"/>
    </x:xf>
    <x:xf numFmtId="0" fontId="41" fillId="0" borderId="77" xfId="0" applyNumberFormat="1" applyFont="1" applyFill="1" applyBorder="1" applyAlignment="1">
      <x:alignment horizontal="center" wrapText="1"/>
    </x:xf>
    <x:xf numFmtId="0" fontId="41" fillId="0" borderId="78" xfId="0" applyNumberFormat="1" applyFont="1" applyFill="1" applyBorder="1" applyAlignment="1">
      <x:alignment horizontal="center" wrapText="1"/>
    </x:xf>
    <x:xf numFmtId="0" fontId="41" fillId="0" borderId="79" xfId="0" applyNumberFormat="1" applyFont="1" applyFill="1" applyBorder="1" applyAlignment="1">
      <x:alignment horizontal="center" wrapText="1"/>
    </x:xf>
    <x:xf numFmtId="0" fontId="41" fillId="0" borderId="80" xfId="0" applyNumberFormat="1" applyFont="1" applyFill="1" applyBorder="1" applyAlignment="1">
      <x:alignment horizontal="center" wrapText="1"/>
    </x:xf>
    <x:xf numFmtId="0" fontId="41" fillId="0" borderId="73" xfId="0" applyNumberFormat="1" applyFont="1" applyFill="1" applyBorder="1" applyAlignment="1">
      <x:alignment horizontal="center" vertical="center" wrapText="1"/>
    </x:xf>
    <x:xf numFmtId="0" fontId="41" fillId="0" borderId="74" xfId="0" applyNumberFormat="1" applyFont="1" applyFill="1" applyBorder="1" applyAlignment="1">
      <x:alignment horizontal="center" vertical="center" wrapText="1"/>
    </x:xf>
    <x:xf numFmtId="0" fontId="41" fillId="0" borderId="75" xfId="0" applyNumberFormat="1" applyFont="1" applyFill="1" applyBorder="1" applyAlignment="1">
      <x:alignment horizontal="center" vertical="center" wrapText="1"/>
    </x:xf>
    <x:xf numFmtId="0" fontId="41" fillId="0" borderId="76" xfId="0" applyNumberFormat="1" applyFont="1" applyFill="1" applyBorder="1" applyAlignment="1">
      <x:alignment horizontal="center" vertical="center" wrapText="1"/>
    </x:xf>
    <x:xf numFmtId="0" fontId="41" fillId="0" borderId="1" xfId="0" applyNumberFormat="1" applyFont="1" applyFill="1" applyBorder="1" applyAlignment="1">
      <x:alignment horizontal="center" vertical="center" wrapText="1"/>
    </x:xf>
    <x:xf numFmtId="0" fontId="41" fillId="0" borderId="77" xfId="0" applyNumberFormat="1" applyFont="1" applyFill="1" applyBorder="1" applyAlignment="1">
      <x:alignment horizontal="center" vertical="center" wrapText="1"/>
    </x:xf>
    <x:xf numFmtId="0" fontId="41" fillId="0" borderId="78" xfId="0" applyNumberFormat="1" applyFont="1" applyFill="1" applyBorder="1" applyAlignment="1">
      <x:alignment horizontal="center" vertical="center" wrapText="1"/>
    </x:xf>
    <x:xf numFmtId="0" fontId="41" fillId="0" borderId="79" xfId="0" applyNumberFormat="1" applyFont="1" applyFill="1" applyBorder="1" applyAlignment="1">
      <x:alignment horizontal="center" vertical="center" wrapText="1"/>
    </x:xf>
    <x:xf numFmtId="0" fontId="41" fillId="0" borderId="80" xfId="0" applyNumberFormat="1" applyFont="1" applyFill="1" applyBorder="1" applyAlignment="1">
      <x:alignment horizontal="center" vertical="center" wrapText="1"/>
    </x:xf>
    <x:xf numFmtId="0" fontId="19" fillId="7" borderId="27" xfId="0" applyNumberFormat="1" applyFont="1" applyFill="1" applyBorder="1" applyAlignment="1">
      <x:alignment horizontal="center" wrapText="1"/>
    </x:xf>
    <x:xf numFmtId="0" fontId="19" fillId="7" borderId="28" xfId="0" applyNumberFormat="1" applyFont="1" applyFill="1" applyBorder="1" applyAlignment="1">
      <x:alignment horizontal="center" wrapText="1"/>
    </x:xf>
    <x:xf numFmtId="0" fontId="19" fillId="7" borderId="29" xfId="0" applyNumberFormat="1" applyFont="1" applyFill="1" applyBorder="1" applyAlignment="1">
      <x:alignment horizontal="center" wrapText="1"/>
    </x:xf>
    <x:xf numFmtId="0" fontId="19" fillId="7" borderId="32" xfId="0" applyNumberFormat="1" applyFont="1" applyFill="1" applyBorder="1" applyAlignment="1">
      <x:alignment horizontal="center" wrapText="1"/>
    </x:xf>
    <x:xf numFmtId="0" fontId="19" fillId="7" borderId="33" xfId="0" applyNumberFormat="1" applyFont="1" applyFill="1" applyBorder="1" applyAlignment="1">
      <x:alignment horizontal="center" wrapText="1"/>
    </x:xf>
    <x:xf numFmtId="0" fontId="19" fillId="7" borderId="34" xfId="0" applyNumberFormat="1" applyFont="1" applyFill="1" applyBorder="1" applyAlignment="1">
      <x:alignment horizontal="center" wrapText="1"/>
    </x:xf>
    <x:xf numFmtId="0" fontId="19" fillId="7" borderId="27" xfId="0" applyNumberFormat="1" applyFont="1" applyFill="1" applyBorder="1" applyAlignment="1">
      <x:alignment horizontal="center" vertical="center" wrapText="1"/>
    </x:xf>
    <x:xf numFmtId="0" fontId="19" fillId="7" borderId="28" xfId="0" applyNumberFormat="1" applyFont="1" applyFill="1" applyBorder="1" applyAlignment="1">
      <x:alignment horizontal="center" vertical="center" wrapText="1"/>
    </x:xf>
    <x:xf numFmtId="0" fontId="19" fillId="7" borderId="29" xfId="0" applyNumberFormat="1" applyFont="1" applyFill="1" applyBorder="1" applyAlignment="1">
      <x:alignment horizontal="center" vertical="center" wrapText="1"/>
    </x:xf>
    <x:xf numFmtId="0" fontId="19" fillId="7" borderId="32" xfId="0" applyNumberFormat="1" applyFont="1" applyFill="1" applyBorder="1" applyAlignment="1">
      <x:alignment horizontal="center" vertical="center" wrapText="1"/>
    </x:xf>
    <x:xf numFmtId="0" fontId="19" fillId="7" borderId="33" xfId="0" applyNumberFormat="1" applyFont="1" applyFill="1" applyBorder="1" applyAlignment="1">
      <x:alignment horizontal="center" vertical="center" wrapText="1"/>
    </x:xf>
    <x:xf numFmtId="0" fontId="19" fillId="7" borderId="34" xfId="0" applyNumberFormat="1" applyFont="1" applyFill="1" applyBorder="1" applyAlignment="1">
      <x:alignment horizontal="center" vertical="center" wrapText="1"/>
    </x:xf>
    <x:xf numFmtId="0" fontId="24" fillId="0" borderId="1" xfId="0" applyNumberFormat="1" applyFont="1" applyFill="1" applyBorder="1"/>
    <x:xf numFmtId="0" fontId="24" fillId="0" borderId="27" xfId="0" applyNumberFormat="1" applyFont="1" applyFill="1" applyBorder="1"/>
    <x:xf numFmtId="0" fontId="24" fillId="0" borderId="28" xfId="0" applyNumberFormat="1" applyFont="1" applyFill="1" applyBorder="1"/>
    <x:xf numFmtId="0" fontId="24" fillId="0" borderId="29" xfId="0" applyNumberFormat="1" applyFont="1" applyFill="1" applyBorder="1"/>
    <x:xf numFmtId="0" fontId="24" fillId="0" borderId="30" xfId="0" applyNumberFormat="1" applyFont="1" applyFill="1" applyBorder="1"/>
    <x:xf numFmtId="0" fontId="24" fillId="0" borderId="31" xfId="0" applyNumberFormat="1" applyFont="1" applyFill="1" applyBorder="1"/>
    <x:xf numFmtId="0" fontId="24" fillId="0" borderId="32" xfId="0" applyNumberFormat="1" applyFont="1" applyFill="1" applyBorder="1"/>
    <x:xf numFmtId="0" fontId="24" fillId="0" borderId="33" xfId="0" applyNumberFormat="1" applyFont="1" applyFill="1" applyBorder="1"/>
    <x:xf numFmtId="0" fontId="24" fillId="0" borderId="34" xfId="0" applyNumberFormat="1" applyFont="1" applyFill="1" applyBorder="1"/>
    <x:xf numFmtId="0" fontId="24" fillId="0" borderId="27" xfId="0" applyNumberFormat="1" applyFont="1" applyFill="1" applyBorder="1" applyAlignment="1">
      <x:alignment wrapText="1"/>
    </x:xf>
    <x:xf numFmtId="0" fontId="24" fillId="0" borderId="28" xfId="0" applyNumberFormat="1" applyFont="1" applyFill="1" applyBorder="1" applyAlignment="1">
      <x:alignment wrapText="1"/>
    </x:xf>
    <x:xf numFmtId="0" fontId="24" fillId="0" borderId="29" xfId="0" applyNumberFormat="1" applyFont="1" applyFill="1" applyBorder="1" applyAlignment="1">
      <x:alignment wrapText="1"/>
    </x:xf>
    <x:xf numFmtId="0" fontId="24" fillId="0" borderId="30" xfId="0" applyNumberFormat="1" applyFont="1" applyFill="1" applyBorder="1" applyAlignment="1">
      <x:alignment wrapText="1"/>
    </x:xf>
    <x:xf numFmtId="0" fontId="24" fillId="0" borderId="1" xfId="0" applyNumberFormat="1" applyFont="1" applyFill="1" applyBorder="1" applyAlignment="1">
      <x:alignment wrapText="1"/>
    </x:xf>
    <x:xf numFmtId="0" fontId="24" fillId="0" borderId="31" xfId="0" applyNumberFormat="1" applyFont="1" applyFill="1" applyBorder="1" applyAlignment="1">
      <x:alignment wrapText="1"/>
    </x:xf>
    <x:xf numFmtId="0" fontId="24" fillId="0" borderId="32" xfId="0" applyNumberFormat="1" applyFont="1" applyFill="1" applyBorder="1" applyAlignment="1">
      <x:alignment wrapText="1"/>
    </x:xf>
    <x:xf numFmtId="0" fontId="24" fillId="0" borderId="33" xfId="0" applyNumberFormat="1" applyFont="1" applyFill="1" applyBorder="1" applyAlignment="1">
      <x:alignment wrapText="1"/>
    </x:xf>
    <x:xf numFmtId="0" fontId="24" fillId="0" borderId="34" xfId="0" applyNumberFormat="1" applyFont="1" applyFill="1" applyBorder="1" applyAlignment="1">
      <x:alignment wrapText="1"/>
    </x:xf>
    <x:xf numFmtId="0" fontId="24" fillId="0" borderId="27" xfId="0" applyNumberFormat="1" applyFont="1" applyFill="1" applyBorder="1" applyAlignment="1">
      <x:alignment horizontal="center" wrapText="1"/>
    </x:xf>
    <x:xf numFmtId="0" fontId="24" fillId="0" borderId="28" xfId="0" applyNumberFormat="1" applyFont="1" applyFill="1" applyBorder="1" applyAlignment="1">
      <x:alignment horizontal="center" wrapText="1"/>
    </x:xf>
    <x:xf numFmtId="0" fontId="24" fillId="0" borderId="29" xfId="0" applyNumberFormat="1" applyFont="1" applyFill="1" applyBorder="1" applyAlignment="1">
      <x:alignment horizontal="center" wrapText="1"/>
    </x:xf>
    <x:xf numFmtId="0" fontId="24" fillId="0" borderId="30" xfId="0" applyNumberFormat="1" applyFont="1" applyFill="1" applyBorder="1" applyAlignment="1">
      <x:alignment horizontal="center" wrapText="1"/>
    </x:xf>
    <x:xf numFmtId="0" fontId="24" fillId="0" borderId="1" xfId="0" applyNumberFormat="1" applyFont="1" applyFill="1" applyBorder="1" applyAlignment="1">
      <x:alignment horizontal="center" wrapText="1"/>
    </x:xf>
    <x:xf numFmtId="0" fontId="24" fillId="0" borderId="31" xfId="0" applyNumberFormat="1" applyFont="1" applyFill="1" applyBorder="1" applyAlignment="1">
      <x:alignment horizontal="center" wrapText="1"/>
    </x:xf>
    <x:xf numFmtId="0" fontId="24" fillId="0" borderId="32" xfId="0" applyNumberFormat="1" applyFont="1" applyFill="1" applyBorder="1" applyAlignment="1">
      <x:alignment horizontal="center" wrapText="1"/>
    </x:xf>
    <x:xf numFmtId="0" fontId="24" fillId="0" borderId="33" xfId="0" applyNumberFormat="1" applyFont="1" applyFill="1" applyBorder="1" applyAlignment="1">
      <x:alignment horizontal="center" wrapText="1"/>
    </x:xf>
    <x:xf numFmtId="0" fontId="24" fillId="0" borderId="34" xfId="0" applyNumberFormat="1" applyFont="1" applyFill="1" applyBorder="1" applyAlignment="1">
      <x:alignment horizontal="center" wrapText="1"/>
    </x:xf>
    <x:xf numFmtId="0" fontId="24" fillId="0" borderId="27" xfId="0" applyNumberFormat="1" applyFont="1" applyFill="1" applyBorder="1" applyAlignment="1">
      <x:alignment horizontal="center" vertical="center" wrapText="1"/>
    </x:xf>
    <x:xf numFmtId="0" fontId="24" fillId="0" borderId="28" xfId="0" applyNumberFormat="1" applyFont="1" applyFill="1" applyBorder="1" applyAlignment="1">
      <x:alignment horizontal="center" vertical="center" wrapText="1"/>
    </x:xf>
    <x:xf numFmtId="0" fontId="24" fillId="0" borderId="29" xfId="0" applyNumberFormat="1" applyFont="1" applyFill="1" applyBorder="1" applyAlignment="1">
      <x:alignment horizontal="center" vertical="center" wrapText="1"/>
    </x:xf>
    <x:xf numFmtId="0" fontId="24" fillId="0" borderId="30" xfId="0" applyNumberFormat="1" applyFont="1" applyFill="1" applyBorder="1" applyAlignment="1">
      <x:alignment horizontal="center" vertical="center" wrapText="1"/>
    </x:xf>
    <x:xf numFmtId="0" fontId="24" fillId="0" borderId="1" xfId="0" applyNumberFormat="1" applyFont="1" applyFill="1" applyBorder="1" applyAlignment="1">
      <x:alignment horizontal="center" vertical="center" wrapText="1"/>
    </x:xf>
    <x:xf numFmtId="0" fontId="24" fillId="0" borderId="31" xfId="0" applyNumberFormat="1" applyFont="1" applyFill="1" applyBorder="1" applyAlignment="1">
      <x:alignment horizontal="center" vertical="center" wrapText="1"/>
    </x:xf>
    <x:xf numFmtId="0" fontId="24" fillId="0" borderId="32" xfId="0" applyNumberFormat="1" applyFont="1" applyFill="1" applyBorder="1" applyAlignment="1">
      <x:alignment horizontal="center" vertical="center" wrapText="1"/>
    </x:xf>
    <x:xf numFmtId="0" fontId="24" fillId="0" borderId="33" xfId="0" applyNumberFormat="1" applyFont="1" applyFill="1" applyBorder="1" applyAlignment="1">
      <x:alignment horizontal="center" vertical="center" wrapText="1"/>
    </x:xf>
    <x:xf numFmtId="0" fontId="24" fillId="0" borderId="34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left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42" fillId="0" borderId="0" xfId="0" applyNumberFormat="1" applyFont="1" applyFill="1" applyBorder="1"/>
    <x:xf numFmtId="0" fontId="42" fillId="0" borderId="0" xfId="0" applyNumberFormat="1" applyFont="1" applyFill="1" applyBorder="1" applyAlignment="1">
      <x:alignment vertical="center"/>
    </x:xf>
    <x:xf numFmtId="0" fontId="42" fillId="15" borderId="0" xfId="0" applyNumberFormat="1" applyFont="1" applyFill="1" applyBorder="1" applyAlignment="1">
      <x:alignment vertical="center"/>
    </x:xf>
    <x:xf numFmtId="0" fontId="9" fillId="15" borderId="0" xfId="0" applyNumberFormat="1" applyFont="1" applyFill="1" applyBorder="1" applyAlignment="1">
      <x:alignment vertical="center"/>
    </x:xf>
    <x:xf numFmtId="0" fontId="9" fillId="15" borderId="145" xfId="0" applyNumberFormat="1" applyFont="1" applyFill="1" applyBorder="1" applyAlignment="1">
      <x:alignment vertical="center"/>
    </x:xf>
    <x:xf numFmtId="0" fontId="9" fillId="15" borderId="146" xfId="0" applyNumberFormat="1" applyFont="1" applyFill="1" applyBorder="1" applyAlignment="1">
      <x:alignment vertical="center"/>
    </x:xf>
    <x:xf numFmtId="0" fontId="9" fillId="15" borderId="147" xfId="0" applyNumberFormat="1" applyFont="1" applyFill="1" applyBorder="1" applyAlignment="1">
      <x:alignment vertical="center"/>
    </x:xf>
    <x:xf numFmtId="0" fontId="9" fillId="15" borderId="148" xfId="0" applyNumberFormat="1" applyFont="1" applyFill="1" applyBorder="1" applyAlignment="1">
      <x:alignment vertical="center"/>
    </x:xf>
    <x:xf numFmtId="0" fontId="9" fillId="15" borderId="149" xfId="0" applyNumberFormat="1" applyFont="1" applyFill="1" applyBorder="1" applyAlignment="1">
      <x:alignment vertical="center"/>
    </x:xf>
    <x:xf numFmtId="0" fontId="9" fillId="15" borderId="150" xfId="0" applyNumberFormat="1" applyFont="1" applyFill="1" applyBorder="1" applyAlignment="1">
      <x:alignment vertical="center"/>
    </x:xf>
    <x:xf numFmtId="0" fontId="9" fillId="15" borderId="145" xfId="0" applyNumberFormat="1" applyFont="1" applyFill="1" applyBorder="1" applyAlignment="1">
      <x:alignment horizontal="left" vertical="center"/>
    </x:xf>
    <x:xf numFmtId="0" fontId="9" fillId="15" borderId="146" xfId="0" applyNumberFormat="1" applyFont="1" applyFill="1" applyBorder="1" applyAlignment="1">
      <x:alignment horizontal="left" vertical="center"/>
    </x:xf>
    <x:xf numFmtId="0" fontId="9" fillId="15" borderId="147" xfId="0" applyNumberFormat="1" applyFont="1" applyFill="1" applyBorder="1" applyAlignment="1">
      <x:alignment horizontal="left" vertical="center"/>
    </x:xf>
    <x:xf numFmtId="0" fontId="9" fillId="15" borderId="148" xfId="0" applyNumberFormat="1" applyFont="1" applyFill="1" applyBorder="1" applyAlignment="1">
      <x:alignment horizontal="left" vertical="center"/>
    </x:xf>
    <x:xf numFmtId="0" fontId="9" fillId="15" borderId="149" xfId="0" applyNumberFormat="1" applyFont="1" applyFill="1" applyBorder="1" applyAlignment="1">
      <x:alignment horizontal="left" vertical="center"/>
    </x:xf>
    <x:xf numFmtId="0" fontId="9" fillId="15" borderId="150" xfId="0" applyNumberFormat="1" applyFont="1" applyFill="1" applyBorder="1" applyAlignment="1">
      <x:alignment horizontal="left" vertical="center"/>
    </x:xf>
    <x:xf numFmtId="0" fontId="42" fillId="16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vertical="center"/>
    </x:xf>
    <x:xf numFmtId="0" fontId="10" fillId="16" borderId="1" xfId="0" applyNumberFormat="1" applyFont="1" applyFill="1" applyBorder="1" applyAlignment="1">
      <x:alignment vertical="center"/>
    </x:xf>
    <x:xf numFmtId="0" fontId="10" fillId="16" borderId="1" xfId="0" applyNumberFormat="1" applyFont="1" applyFill="1" applyBorder="1" applyAlignment="1">
      <x:alignment vertical="center" wrapText="1"/>
    </x:xf>
    <x:xf numFmtId="0" fontId="42" fillId="17" borderId="0" xfId="0" applyNumberFormat="1" applyFont="1" applyFill="1" applyBorder="1" applyAlignment="1">
      <x:alignment vertical="center"/>
    </x:xf>
    <x:xf numFmtId="0" fontId="11" fillId="17" borderId="0" xfId="0" applyNumberFormat="1" applyFont="1" applyFill="1" applyBorder="1" applyAlignment="1">
      <x:alignment vertical="center"/>
    </x:xf>
    <x:xf numFmtId="0" fontId="11" fillId="17" borderId="25" xfId="0" applyNumberFormat="1" applyFont="1" applyFill="1" applyBorder="1" applyAlignment="1">
      <x:alignment vertical="center"/>
    </x:xf>
    <x:xf numFmtId="0" fontId="11" fillId="17" borderId="25" xfId="0" applyNumberFormat="1" applyFont="1" applyFill="1" applyBorder="1" applyAlignment="1">
      <x:alignment horizontal="center" vertical="center"/>
    </x:xf>
    <x:xf numFmtId="0" fontId="42" fillId="18" borderId="0" xfId="0" applyNumberFormat="1" applyFont="1" applyFill="1" applyBorder="1" applyAlignment="1">
      <x:alignment vertical="center"/>
    </x:xf>
    <x:xf numFmtId="0" fontId="35" fillId="18" borderId="0" xfId="0" applyNumberFormat="1" applyFont="1" applyFill="1" applyBorder="1" applyAlignment="1">
      <x:alignment vertical="center"/>
    </x:xf>
    <x:xf numFmtId="0" fontId="35" fillId="18" borderId="151" xfId="0" applyNumberFormat="1" applyFont="1" applyFill="1" applyBorder="1" applyAlignment="1">
      <x:alignment vertical="center"/>
    </x:xf>
    <x:xf numFmtId="0" fontId="35" fillId="18" borderId="152" xfId="0" applyNumberFormat="1" applyFont="1" applyFill="1" applyBorder="1" applyAlignment="1">
      <x:alignment vertical="center"/>
    </x:xf>
    <x:xf numFmtId="0" fontId="35" fillId="18" borderId="153" xfId="0" applyNumberFormat="1" applyFont="1" applyFill="1" applyBorder="1" applyAlignment="1">
      <x:alignment vertical="center"/>
    </x:xf>
    <x:xf numFmtId="0" fontId="35" fillId="18" borderId="154" xfId="0" applyNumberFormat="1" applyFont="1" applyFill="1" applyBorder="1" applyAlignment="1">
      <x:alignment vertical="center"/>
    </x:xf>
    <x:xf numFmtId="0" fontId="35" fillId="18" borderId="155" xfId="0" applyNumberFormat="1" applyFont="1" applyFill="1" applyBorder="1" applyAlignment="1">
      <x:alignment vertical="center"/>
    </x:xf>
    <x:xf numFmtId="0" fontId="35" fillId="18" borderId="156" xfId="0" applyNumberFormat="1" applyFont="1" applyFill="1" applyBorder="1" applyAlignment="1">
      <x:alignment vertical="center"/>
    </x:xf>
    <x:xf numFmtId="0" fontId="35" fillId="18" borderId="151" xfId="0" applyNumberFormat="1" applyFont="1" applyFill="1" applyBorder="1" applyAlignment="1">
      <x:alignment horizontal="left" vertical="center"/>
    </x:xf>
    <x:xf numFmtId="0" fontId="35" fillId="18" borderId="152" xfId="0" applyNumberFormat="1" applyFont="1" applyFill="1" applyBorder="1" applyAlignment="1">
      <x:alignment horizontal="left" vertical="center"/>
    </x:xf>
    <x:xf numFmtId="0" fontId="35" fillId="18" borderId="153" xfId="0" applyNumberFormat="1" applyFont="1" applyFill="1" applyBorder="1" applyAlignment="1">
      <x:alignment horizontal="left" vertical="center"/>
    </x:xf>
    <x:xf numFmtId="0" fontId="35" fillId="18" borderId="154" xfId="0" applyNumberFormat="1" applyFont="1" applyFill="1" applyBorder="1" applyAlignment="1">
      <x:alignment horizontal="left" vertical="center"/>
    </x:xf>
    <x:xf numFmtId="0" fontId="35" fillId="18" borderId="155" xfId="0" applyNumberFormat="1" applyFont="1" applyFill="1" applyBorder="1" applyAlignment="1">
      <x:alignment horizontal="left" vertical="center"/>
    </x:xf>
    <x:xf numFmtId="0" fontId="35" fillId="18" borderId="156" xfId="0" applyNumberFormat="1" applyFont="1" applyFill="1" applyBorder="1" applyAlignment="1">
      <x:alignment horizontal="left" vertical="center"/>
    </x:xf>
    <x:xf numFmtId="0" fontId="43" fillId="17" borderId="0" xfId="0" applyNumberFormat="1" applyFont="1" applyFill="1" applyBorder="1" applyAlignment="1">
      <x:alignment vertical="center"/>
    </x:xf>
    <x:xf numFmtId="0" fontId="43" fillId="17" borderId="157" xfId="0" applyNumberFormat="1" applyFont="1" applyFill="1" applyBorder="1" applyAlignment="1">
      <x:alignment vertical="center"/>
    </x:xf>
    <x:xf numFmtId="0" fontId="43" fillId="17" borderId="157" xfId="0" applyNumberFormat="1" applyFont="1" applyFill="1" applyBorder="1" applyAlignment="1">
      <x:alignment vertical="center" wrapText="1"/>
    </x:xf>
    <x:xf numFmtId="0" fontId="43" fillId="17" borderId="157" xfId="0" applyNumberFormat="1" applyFont="1" applyFill="1" applyBorder="1" applyAlignment="1">
      <x:alignment horizontal="left" vertical="center" wrapText="1"/>
    </x:xf>
    <x:xf numFmtId="0" fontId="44" fillId="15" borderId="0" xfId="0" applyNumberFormat="1" applyFont="1" applyFill="1" applyBorder="1" applyAlignment="1">
      <x:alignment vertical="center"/>
    </x:xf>
    <x:xf numFmtId="0" fontId="44" fillId="15" borderId="158" xfId="0" applyNumberFormat="1" applyFont="1" applyFill="1" applyBorder="1" applyAlignment="1">
      <x:alignment vertical="center"/>
    </x:xf>
    <x:xf numFmtId="0" fontId="44" fillId="15" borderId="158" xfId="0" applyNumberFormat="1" applyFont="1" applyFill="1" applyBorder="1" applyAlignment="1">
      <x:alignment horizontal="center" vertical="center"/>
    </x:xf>
    <x:xf numFmtId="0" fontId="42" fillId="0" borderId="157" xfId="0" applyNumberFormat="1" applyFont="1" applyFill="1" applyBorder="1" applyAlignment="1">
      <x:alignment vertical="center"/>
    </x:xf>
    <x:xf numFmtId="0" fontId="42" fillId="0" borderId="15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BF9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BF9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ee24261734a77" /><Relationship Type="http://schemas.openxmlformats.org/officeDocument/2006/relationships/theme" Target="/xl/theme/theme1.xml" Id="R6020fbf4559f4387" /><Relationship Type="http://schemas.openxmlformats.org/officeDocument/2006/relationships/sharedStrings" Target="/xl/sharedStrings.xml" Id="Re247e0d4029241e6" /><Relationship Type="http://schemas.openxmlformats.org/officeDocument/2006/relationships/worksheet" Target="/xl/worksheets/sheet1.xml" Id="R80027c3077e84ed2" /><Relationship Type="http://schemas.openxmlformats.org/officeDocument/2006/relationships/worksheet" Target="/xl/worksheets/sheet2.xml" Id="R41a535e2a07040b7" /><Relationship Type="http://schemas.openxmlformats.org/officeDocument/2006/relationships/worksheet" Target="/xl/worksheets/sheet3.xml" Id="Rf5d32939a4114545" /><Relationship Type="http://schemas.openxmlformats.org/officeDocument/2006/relationships/worksheet" Target="/xl/worksheets/sheet4.xml" Id="R022b966201a54b4f" /><Relationship Type="http://schemas.openxmlformats.org/officeDocument/2006/relationships/worksheet" Target="/xl/worksheets/sheet5.xml" Id="R51d486c237e64ef4" /><Relationship Type="http://schemas.openxmlformats.org/officeDocument/2006/relationships/worksheet" Target="/xl/worksheets/sheet6.xml" Id="R0c08a6e57a124f45" /><Relationship Type="http://schemas.openxmlformats.org/officeDocument/2006/relationships/worksheet" Target="/xl/worksheets/sheet7.xml" Id="Rd31dc5a4f6bd4259" /><Relationship Type="http://schemas.openxmlformats.org/officeDocument/2006/relationships/worksheet" Target="/xl/worksheets/sheet8.xml" Id="R8533bb0b6e8b45dc" /><Relationship Type="http://schemas.openxmlformats.org/officeDocument/2006/relationships/worksheet" Target="/xl/worksheets/sheet9.xml" Id="Rc682a60b86554d56" /><Relationship Type="http://schemas.openxmlformats.org/officeDocument/2006/relationships/worksheet" Target="/xl/worksheets/sheet10.xml" Id="R76e68c5964b74ed4" /><Relationship Type="http://schemas.openxmlformats.org/officeDocument/2006/relationships/worksheet" Target="/xl/worksheets/sheet11.xml" Id="R4358a63c6e10409c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.png" Id="Raa4b0941f0cb4dd7" /><Relationship Type="http://schemas.openxmlformats.org/officeDocument/2006/relationships/image" Target="/xl/media/image2.png" Id="Rdedbf45d8bbc44cc" /></Relationships>
</file>

<file path=xl/drawings/drawing1.xml><?xml version="1.0" encoding="utf-8"?>
<xdr:wsDr xmlns:xdr="http://schemas.openxmlformats.org/drawingml/2006/spreadsheetDrawing">
  <xdr:oneCellAnchor>
    <xdr:from>
      <xdr:col>2</xdr:col>
      <xdr:colOff>0</xdr:colOff>
      <xdr:row>31</xdr:row>
      <xdr:rowOff>0</xdr:rowOff>
    </xdr:from>
    <xdr:ext cx="1371600" cy="857250"/>
    <xdr:sp>
      <xdr:nvSpPr>
        <xdr:cNvPr id="1" name="shape_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roundRect">
          <a:avLst/>
        </a:prstGeom>
        <a:ln xmlns:a="http://schemas.openxmlformats.org/drawingml/2006/main" w="14288">
          <a:solidFill>
            <a:srgbClr val="548235"/>
          </a:solidFill>
          <a:prstDash val="solid"/>
        </a:ln>
      </xdr:spPr>
    </xdr:sp>
    <xdr:clientData/>
  </xdr:oneCellAnchor>
  <xdr:oneCellAnchor>
    <xdr:from>
      <xdr:col>10</xdr:col>
      <xdr:colOff>0</xdr:colOff>
      <xdr:row>33</xdr:row>
      <xdr:rowOff>38100</xdr:rowOff>
    </xdr:from>
    <xdr:ext cx="857250" cy="95250"/>
    <xdr:sp>
      <xdr:nvSpPr>
        <xdr:cNvPr id="2" name="shape_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57250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4472C4"/>
        </a:solidFill>
        <a:ln xmlns:a="http://schemas.openxmlformats.org/drawingml/2006/main" w="7620">
          <a:solidFill>
            <a:srgbClr val="4472C4"/>
          </a:solidFill>
          <a:prstDash val="solid"/>
        </a:ln>
      </xdr:spPr>
    </xdr:sp>
    <xdr:clientData/>
  </xdr:oneCellAnchor>
  <xdr:oneCellAnchor>
    <xdr:from>
      <xdr:col>15</xdr:col>
      <xdr:colOff>0</xdr:colOff>
      <xdr:row>30</xdr:row>
      <xdr:rowOff>0</xdr:rowOff>
    </xdr:from>
    <xdr:ext cx="1543050" cy="1200150"/>
    <xdr:sp>
      <xdr:nvSpPr>
        <xdr:cNvPr id="3" name="shape_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43050" cy="120015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2F75B5"/>
          </a:solidFill>
          <a:prstDash val="solid"/>
        </a:ln>
      </xdr:spPr>
    </xdr:sp>
    <xdr:clientData/>
  </xdr:oneCellAnchor>
  <xdr:oneCellAnchor>
    <xdr:from>
      <xdr:col>24</xdr:col>
      <xdr:colOff>0</xdr:colOff>
      <xdr:row>33</xdr:row>
      <xdr:rowOff>38100</xdr:rowOff>
    </xdr:from>
    <xdr:ext cx="857250" cy="95250"/>
    <xdr:sp>
      <xdr:nvSpPr>
        <xdr:cNvPr id="4" name="shape_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57250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4472C4"/>
        </a:solidFill>
        <a:ln xmlns:a="http://schemas.openxmlformats.org/drawingml/2006/main" w="7620">
          <a:solidFill>
            <a:srgbClr val="4472C4"/>
          </a:solidFill>
          <a:prstDash val="solid"/>
        </a:ln>
      </xdr:spPr>
    </xdr:sp>
    <xdr:clientData/>
  </xdr:oneCellAnchor>
  <xdr:oneCellAnchor>
    <xdr:from>
      <xdr:col>29</xdr:col>
      <xdr:colOff>0</xdr:colOff>
      <xdr:row>28</xdr:row>
      <xdr:rowOff>0</xdr:rowOff>
    </xdr:from>
    <xdr:ext cx="1714500" cy="1885950"/>
    <xdr:sp>
      <xdr:nvSpPr>
        <xdr:cNvPr id="5" name="shape_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0" cy="188595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1F4E78"/>
          </a:solidFill>
          <a:prstDash val="solid"/>
        </a:ln>
      </xdr:spPr>
    </xdr:sp>
    <xdr:clientData/>
  </xdr:oneCellAnchor>
  <xdr:oneCellAnchor>
    <xdr:from>
      <xdr:col>39</xdr:col>
      <xdr:colOff>0</xdr:colOff>
      <xdr:row>31</xdr:row>
      <xdr:rowOff>38100</xdr:rowOff>
    </xdr:from>
    <xdr:ext cx="857250" cy="95250"/>
    <xdr:sp>
      <xdr:nvSpPr>
        <xdr:cNvPr id="6" name="shape_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57250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7030A0"/>
        </a:solidFill>
        <a:ln xmlns:a="http://schemas.openxmlformats.org/drawingml/2006/main" w="7620">
          <a:solidFill>
            <a:srgbClr val="7030A0"/>
          </a:solidFill>
          <a:prstDash val="solid"/>
        </a:ln>
      </xdr:spPr>
    </xdr:sp>
    <xdr:clientData/>
  </xdr:oneCellAnchor>
  <xdr:oneCellAnchor>
    <xdr:from>
      <xdr:col>44</xdr:col>
      <xdr:colOff>0</xdr:colOff>
      <xdr:row>28</xdr:row>
      <xdr:rowOff>0</xdr:rowOff>
    </xdr:from>
    <xdr:ext cx="1028700" cy="1200150"/>
    <xdr:sp>
      <xdr:nvSpPr>
        <xdr:cNvPr id="7" name="shape_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28700" cy="1200150"/>
        </a:xfrm>
        <a:prstGeom xmlns:a="http://schemas.openxmlformats.org/drawingml/2006/main" prst="roundRect">
          <a:avLst/>
        </a:prstGeom>
        <a:ln xmlns:a="http://schemas.openxmlformats.org/drawingml/2006/main" w="14288">
          <a:solidFill>
            <a:srgbClr val="7030A0"/>
          </a:solidFill>
          <a:prstDash val="solid"/>
        </a:ln>
      </xdr:spPr>
    </xdr:sp>
    <xdr:clientData/>
  </xdr:oneCellAnchor>
  <xdr:oneCellAnchor>
    <xdr:from>
      <xdr:col>30</xdr:col>
      <xdr:colOff>0</xdr:colOff>
      <xdr:row>43</xdr:row>
      <xdr:rowOff>0</xdr:rowOff>
    </xdr:from>
    <xdr:ext cx="1371600" cy="1200150"/>
    <xdr:sp>
      <xdr:nvSpPr>
        <xdr:cNvPr id="8" name="shape_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1200150"/>
        </a:xfrm>
        <a:prstGeom xmlns:a="http://schemas.openxmlformats.org/drawingml/2006/main" prst="can">
          <a:avLst/>
        </a:prstGeom>
        <a:ln xmlns:a="http://schemas.openxmlformats.org/drawingml/2006/main" w="14288">
          <a:solidFill>
            <a:srgbClr val="548235"/>
          </a:solidFill>
          <a:prstDash val="solid"/>
        </a:ln>
      </xdr:spPr>
    </xdr:sp>
    <xdr:clientData/>
  </xdr:oneCellAnchor>
  <xdr:oneCellAnchor>
    <xdr:from>
      <xdr:col>33</xdr:col>
      <xdr:colOff>123825</xdr:colOff>
      <xdr:row>39</xdr:row>
      <xdr:rowOff>0</xdr:rowOff>
    </xdr:from>
    <xdr:ext cx="95250" cy="685800"/>
    <xdr:sp>
      <xdr:nvSpPr>
        <xdr:cNvPr id="9" name="shape_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" cy="685800"/>
        </a:xfrm>
        <a:prstGeom xmlns:a="http://schemas.openxmlformats.org/drawingml/2006/main" prst="downArrow">
          <a:avLst/>
        </a:prstGeom>
        <a:solidFill xmlns:a="http://schemas.openxmlformats.org/drawingml/2006/main">
          <a:srgbClr val="548235"/>
        </a:solidFill>
        <a:ln xmlns:a="http://schemas.openxmlformats.org/drawingml/2006/main" w="7620">
          <a:solidFill>
            <a:srgbClr val="548235"/>
          </a:solidFill>
          <a:prstDash val="solid"/>
        </a:ln>
      </xdr:spPr>
    </xdr:sp>
    <xdr:clientData/>
  </xdr:oneCellAnchor>
  <xdr:oneCellAnchor>
    <xdr:from>
      <xdr:col>16</xdr:col>
      <xdr:colOff>0</xdr:colOff>
      <xdr:row>43</xdr:row>
      <xdr:rowOff>0</xdr:rowOff>
    </xdr:from>
    <xdr:ext cx="1543050" cy="1200150"/>
    <xdr:sp>
      <xdr:nvSpPr>
        <xdr:cNvPr id="10" name="shape_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43050" cy="120015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C55A11"/>
          </a:solidFill>
          <a:prstDash val="solid"/>
        </a:ln>
      </xdr:spPr>
    </xdr:sp>
    <xdr:clientData/>
  </xdr:oneCellAnchor>
  <xdr:oneCellAnchor>
    <xdr:from>
      <xdr:col>31</xdr:col>
      <xdr:colOff>0</xdr:colOff>
      <xdr:row>39</xdr:row>
      <xdr:rowOff>0</xdr:rowOff>
    </xdr:from>
    <xdr:ext cx="9525" cy="342900"/>
    <xdr:sp>
      <xdr:nvSpPr>
        <xdr:cNvPr id="11" name="shape_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342900"/>
        </a:xfrm>
        <a:prstGeom xmlns:a="http://schemas.openxmlformats.org/drawingml/2006/main" prst="line">
          <a:avLst/>
        </a:prstGeom>
        <a:ln xmlns:a="http://schemas.openxmlformats.org/drawingml/2006/main" w="14288">
          <a:solidFill>
            <a:srgbClr val="C55A11"/>
          </a:solidFill>
          <a:prstDash val="solid"/>
        </a:ln>
      </xdr:spPr>
    </xdr:sp>
    <xdr:clientData/>
  </xdr:oneCellAnchor>
  <xdr:oneCellAnchor>
    <xdr:from>
      <xdr:col>20</xdr:col>
      <xdr:colOff>85725</xdr:colOff>
      <xdr:row>41</xdr:row>
      <xdr:rowOff>0</xdr:rowOff>
    </xdr:from>
    <xdr:ext cx="1800225" cy="9525"/>
    <xdr:sp>
      <xdr:nvSpPr>
        <xdr:cNvPr id="12" name="shape_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800225" cy="9525"/>
        </a:xfrm>
        <a:prstGeom xmlns:a="http://schemas.openxmlformats.org/drawingml/2006/main" prst="line">
          <a:avLst/>
        </a:prstGeom>
        <a:ln xmlns:a="http://schemas.openxmlformats.org/drawingml/2006/main" w="14288">
          <a:solidFill>
            <a:srgbClr val="C55A11"/>
          </a:solidFill>
          <a:prstDash val="solid"/>
        </a:ln>
      </xdr:spPr>
    </xdr:sp>
    <xdr:clientData/>
  </xdr:oneCellAnchor>
  <xdr:oneCellAnchor>
    <xdr:from>
      <xdr:col>20</xdr:col>
      <xdr:colOff>42863</xdr:colOff>
      <xdr:row>41</xdr:row>
      <xdr:rowOff>0</xdr:rowOff>
    </xdr:from>
    <xdr:ext cx="85725" cy="342900"/>
    <xdr:sp>
      <xdr:nvSpPr>
        <xdr:cNvPr id="13" name="shape_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5725" cy="342900"/>
        </a:xfrm>
        <a:prstGeom xmlns:a="http://schemas.openxmlformats.org/drawingml/2006/main" prst="downArrow">
          <a:avLst/>
        </a:prstGeom>
        <a:solidFill xmlns:a="http://schemas.openxmlformats.org/drawingml/2006/main">
          <a:srgbClr val="C55A11"/>
        </a:solidFill>
        <a:ln xmlns:a="http://schemas.openxmlformats.org/drawingml/2006/main" w="7620">
          <a:solidFill>
            <a:srgbClr val="C55A11"/>
          </a:solidFill>
          <a:prstDash val="solid"/>
        </a:ln>
      </xdr:spPr>
    </xdr:sp>
    <xdr:clientData/>
  </xdr:oneCellAnchor>
  <xdr:oneCellAnchor>
    <xdr:from>
      <xdr:col>30</xdr:col>
      <xdr:colOff>142875</xdr:colOff>
      <xdr:row>40</xdr:row>
      <xdr:rowOff>142875</xdr:rowOff>
    </xdr:from>
    <xdr:ext cx="57150" cy="57150"/>
    <xdr:sp>
      <xdr:nvSpPr>
        <xdr:cNvPr id="14" name="shape_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7150" cy="57150"/>
        </a:xfrm>
        <a:prstGeom xmlns:a="http://schemas.openxmlformats.org/drawingml/2006/main" prst="ellipse">
          <a:avLst/>
        </a:prstGeom>
        <a:solidFill xmlns:a="http://schemas.openxmlformats.org/drawingml/2006/main">
          <a:srgbClr val="C55A11"/>
        </a:solidFill>
        <a:ln xmlns:a="http://schemas.openxmlformats.org/drawingml/2006/main" w="4763">
          <a:solidFill>
            <a:srgbClr val="C55A11"/>
          </a:solidFill>
          <a:prstDash val="solid"/>
        </a:ln>
      </xdr:spPr>
    </xdr:sp>
    <xdr:clientData/>
  </xdr:oneCellAnchor>
  <xdr:oneCellAnchor>
    <xdr:from>
      <xdr:col>22</xdr:col>
      <xdr:colOff>0</xdr:colOff>
      <xdr:row>42</xdr:row>
      <xdr:rowOff>0</xdr:rowOff>
    </xdr:from>
    <xdr:ext cx="9525" cy="171450"/>
    <xdr:sp>
      <xdr:nvSpPr>
        <xdr:cNvPr id="15" name="shape_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666666"/>
          </a:solidFill>
          <a:prstDash val="dash"/>
        </a:ln>
      </xdr:spPr>
    </xdr:sp>
    <xdr:clientData/>
  </xdr:oneCellAnchor>
  <xdr:oneCellAnchor>
    <xdr:from>
      <xdr:col>22</xdr:col>
      <xdr:colOff>0</xdr:colOff>
      <xdr:row>42</xdr:row>
      <xdr:rowOff>0</xdr:rowOff>
    </xdr:from>
    <xdr:ext cx="1714500" cy="9525"/>
    <xdr:sp>
      <xdr:nvSpPr>
        <xdr:cNvPr id="16" name="shape_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0" cy="9525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666666"/>
          </a:solidFill>
          <a:prstDash val="dash"/>
        </a:ln>
      </xdr:spPr>
    </xdr:sp>
    <xdr:clientData/>
  </xdr:oneCellAnchor>
  <xdr:oneCellAnchor>
    <xdr:from>
      <xdr:col>31</xdr:col>
      <xdr:colOff>133350</xdr:colOff>
      <xdr:row>39</xdr:row>
      <xdr:rowOff>0</xdr:rowOff>
    </xdr:from>
    <xdr:ext cx="76200" cy="514350"/>
    <xdr:sp>
      <xdr:nvSpPr>
        <xdr:cNvPr id="17" name="shape_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6200" cy="514350"/>
        </a:xfrm>
        <a:prstGeom xmlns:a="http://schemas.openxmlformats.org/drawingml/2006/main" prst="upArrow">
          <a:avLst/>
        </a:prstGeom>
        <a:solidFill xmlns:a="http://schemas.openxmlformats.org/drawingml/2006/main">
          <a:srgbClr val="666666"/>
        </a:solidFill>
        <a:ln xmlns:a="http://schemas.openxmlformats.org/drawingml/2006/main" w="7620">
          <a:solidFill>
            <a:srgbClr val="666666"/>
          </a:solidFill>
          <a:prstDash val="solid"/>
        </a:ln>
      </xdr:spPr>
    </xdr:sp>
    <xdr:clientData/>
  </xdr:oneCellAnchor>
  <xdr:oneCellAnchor>
    <xdr:from>
      <xdr:col>41</xdr:col>
      <xdr:colOff>0</xdr:colOff>
      <xdr:row>43</xdr:row>
      <xdr:rowOff>0</xdr:rowOff>
    </xdr:from>
    <xdr:ext cx="1543050" cy="1200150"/>
    <xdr:sp>
      <xdr:nvSpPr>
        <xdr:cNvPr id="18" name="shape_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43050" cy="120015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7030A0"/>
          </a:solidFill>
          <a:prstDash val="solid"/>
        </a:ln>
      </xdr:spPr>
    </xdr:sp>
    <xdr:clientData/>
  </xdr:oneCellAnchor>
  <xdr:oneCellAnchor>
    <xdr:from>
      <xdr:col>38</xdr:col>
      <xdr:colOff>0</xdr:colOff>
      <xdr:row>46</xdr:row>
      <xdr:rowOff>38100</xdr:rowOff>
    </xdr:from>
    <xdr:ext cx="514350" cy="95250"/>
    <xdr:sp>
      <xdr:nvSpPr>
        <xdr:cNvPr id="19" name="shape_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14350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7030A0"/>
        </a:solidFill>
        <a:ln xmlns:a="http://schemas.openxmlformats.org/drawingml/2006/main" w="7620">
          <a:solidFill>
            <a:srgbClr val="7030A0"/>
          </a:solidFill>
          <a:prstDash val="solid"/>
        </a:ln>
      </xdr:spPr>
    </xdr:sp>
    <xdr:clientData/>
  </xdr:oneCellAnchor>
  <xdr:oneCellAnchor>
    <xdr:from>
      <xdr:col>28</xdr:col>
      <xdr:colOff>0</xdr:colOff>
      <xdr:row>56</xdr:row>
      <xdr:rowOff>0</xdr:rowOff>
    </xdr:from>
    <xdr:ext cx="1885950" cy="1200150"/>
    <xdr:sp>
      <xdr:nvSpPr>
        <xdr:cNvPr id="20" name="shape_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885950" cy="1200150"/>
        </a:xfrm>
        <a:prstGeom xmlns:a="http://schemas.openxmlformats.org/drawingml/2006/main" prst="roundRect">
          <a:avLst/>
        </a:prstGeom>
        <a:ln xmlns:a="http://schemas.openxmlformats.org/drawingml/2006/main" w="14288">
          <a:solidFill>
            <a:srgbClr val="C00000"/>
          </a:solidFill>
          <a:prstDash val="solid"/>
        </a:ln>
      </xdr:spPr>
    </xdr:sp>
    <xdr:clientData/>
  </xdr:oneCellAnchor>
  <xdr:oneCellAnchor>
    <xdr:from>
      <xdr:col>33</xdr:col>
      <xdr:colOff>123825</xdr:colOff>
      <xdr:row>50</xdr:row>
      <xdr:rowOff>0</xdr:rowOff>
    </xdr:from>
    <xdr:ext cx="95250" cy="1028700"/>
    <xdr:sp>
      <xdr:nvSpPr>
        <xdr:cNvPr id="21" name="shape_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" cy="1028700"/>
        </a:xfrm>
        <a:prstGeom xmlns:a="http://schemas.openxmlformats.org/drawingml/2006/main" prst="downArrow">
          <a:avLst/>
        </a:prstGeom>
        <a:solidFill xmlns:a="http://schemas.openxmlformats.org/drawingml/2006/main">
          <a:srgbClr val="C00000"/>
        </a:solidFill>
        <a:ln xmlns:a="http://schemas.openxmlformats.org/drawingml/2006/main" w="7620">
          <a:solidFill>
            <a:srgbClr val="C00000"/>
          </a:solidFill>
          <a:prstDash val="solid"/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2</xdr:col>
      <xdr:colOff>19050</xdr:colOff>
      <xdr:row>8</xdr:row>
      <xdr:rowOff>104775</xdr:rowOff>
    </xdr:from>
    <xdr:ext cx="304800" cy="304800"/>
    <xdr:sp>
      <xdr:nvSpPr>
        <xdr:cNvPr id="1" name="shape_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04800" cy="304800"/>
        </a:xfrm>
        <a:prstGeom xmlns:a="http://schemas.openxmlformats.org/drawingml/2006/main" prst="ellipse">
          <a:avLst/>
        </a:prstGeom>
        <a:solidFill xmlns:a="http://schemas.openxmlformats.org/drawingml/2006/main">
          <a:srgbClr val="1F1F1F"/>
        </a:solidFill>
        <a:ln xmlns:a="http://schemas.openxmlformats.org/drawingml/2006/main" w="9525">
          <a:solidFill>
            <a:srgbClr val="1F1F1F"/>
          </a:solidFill>
          <a:prstDash val="solid"/>
        </a:ln>
      </xdr:spPr>
    </xdr:sp>
    <xdr:clientData/>
  </xdr:oneCellAnchor>
  <xdr:oneCellAnchor>
    <xdr:from>
      <xdr:col>3</xdr:col>
      <xdr:colOff>152400</xdr:colOff>
      <xdr:row>9</xdr:row>
      <xdr:rowOff>38100</xdr:rowOff>
    </xdr:from>
    <xdr:ext cx="533400" cy="95250"/>
    <xdr:sp>
      <xdr:nvSpPr>
        <xdr:cNvPr id="2" name="shape_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33400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4472C4"/>
        </a:solidFill>
        <a:ln xmlns:a="http://schemas.openxmlformats.org/drawingml/2006/main" w="7620">
          <a:solidFill>
            <a:srgbClr val="4472C4"/>
          </a:solidFill>
          <a:prstDash val="solid"/>
        </a:ln>
      </xdr:spPr>
    </xdr:sp>
    <xdr:clientData/>
  </xdr:oneCellAnchor>
  <xdr:oneCellAnchor>
    <xdr:from>
      <xdr:col>7</xdr:col>
      <xdr:colOff>0</xdr:colOff>
      <xdr:row>7</xdr:row>
      <xdr:rowOff>0</xdr:rowOff>
    </xdr:from>
    <xdr:ext cx="1371600" cy="857250"/>
    <xdr:sp>
      <xdr:nvSpPr>
        <xdr:cNvPr id="3" name="shape_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roundRect">
          <a:avLst/>
        </a:prstGeom>
        <a:ln xmlns:a="http://schemas.openxmlformats.org/drawingml/2006/main" w="14288">
          <a:solidFill>
            <a:srgbClr val="2F75B5"/>
          </a:solidFill>
          <a:prstDash val="solid"/>
        </a:ln>
      </xdr:spPr>
    </xdr:sp>
    <xdr:clientData/>
  </xdr:oneCellAnchor>
  <xdr:oneCellAnchor>
    <xdr:from>
      <xdr:col>15</xdr:col>
      <xdr:colOff>0</xdr:colOff>
      <xdr:row>9</xdr:row>
      <xdr:rowOff>38100</xdr:rowOff>
    </xdr:from>
    <xdr:ext cx="857250" cy="95250"/>
    <xdr:sp>
      <xdr:nvSpPr>
        <xdr:cNvPr id="4" name="shape_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57250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4472C4"/>
        </a:solidFill>
        <a:ln xmlns:a="http://schemas.openxmlformats.org/drawingml/2006/main" w="7620">
          <a:solidFill>
            <a:srgbClr val="4472C4"/>
          </a:solidFill>
          <a:prstDash val="solid"/>
        </a:ln>
      </xdr:spPr>
    </xdr:sp>
    <xdr:clientData/>
  </xdr:oneCellAnchor>
  <xdr:oneCellAnchor>
    <xdr:from>
      <xdr:col>20</xdr:col>
      <xdr:colOff>0</xdr:colOff>
      <xdr:row>7</xdr:row>
      <xdr:rowOff>0</xdr:rowOff>
    </xdr:from>
    <xdr:ext cx="1371600" cy="857250"/>
    <xdr:sp>
      <xdr:nvSpPr>
        <xdr:cNvPr id="5" name="shape_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roundRect">
          <a:avLst/>
        </a:prstGeom>
        <a:ln xmlns:a="http://schemas.openxmlformats.org/drawingml/2006/main" w="14288">
          <a:solidFill>
            <a:srgbClr val="2F75B5"/>
          </a:solidFill>
          <a:prstDash val="solid"/>
        </a:ln>
      </xdr:spPr>
    </xdr:sp>
    <xdr:clientData/>
  </xdr:oneCellAnchor>
  <xdr:oneCellAnchor>
    <xdr:from>
      <xdr:col>28</xdr:col>
      <xdr:colOff>0</xdr:colOff>
      <xdr:row>9</xdr:row>
      <xdr:rowOff>38100</xdr:rowOff>
    </xdr:from>
    <xdr:ext cx="857250" cy="95250"/>
    <xdr:sp>
      <xdr:nvSpPr>
        <xdr:cNvPr id="6" name="shape_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57250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4472C4"/>
        </a:solidFill>
        <a:ln xmlns:a="http://schemas.openxmlformats.org/drawingml/2006/main" w="7620">
          <a:solidFill>
            <a:srgbClr val="4472C4"/>
          </a:solidFill>
          <a:prstDash val="solid"/>
        </a:ln>
      </xdr:spPr>
    </xdr:sp>
    <xdr:clientData/>
  </xdr:oneCellAnchor>
  <xdr:oneCellAnchor>
    <xdr:from>
      <xdr:col>33</xdr:col>
      <xdr:colOff>0</xdr:colOff>
      <xdr:row>7</xdr:row>
      <xdr:rowOff>0</xdr:rowOff>
    </xdr:from>
    <xdr:ext cx="1371600" cy="857250"/>
    <xdr:sp>
      <xdr:nvSpPr>
        <xdr:cNvPr id="7" name="shape_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roundRect">
          <a:avLst/>
        </a:prstGeom>
        <a:ln xmlns:a="http://schemas.openxmlformats.org/drawingml/2006/main" w="14288">
          <a:solidFill>
            <a:srgbClr val="C55A11"/>
          </a:solidFill>
          <a:prstDash val="solid"/>
        </a:ln>
      </xdr:spPr>
    </xdr:sp>
    <xdr:clientData/>
  </xdr:oneCellAnchor>
  <xdr:oneCellAnchor>
    <xdr:from>
      <xdr:col>43</xdr:col>
      <xdr:colOff>0</xdr:colOff>
      <xdr:row>7</xdr:row>
      <xdr:rowOff>0</xdr:rowOff>
    </xdr:from>
    <xdr:ext cx="1371600" cy="857250"/>
    <xdr:sp>
      <xdr:nvSpPr>
        <xdr:cNvPr id="8" name="shape_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roundRect">
          <a:avLst/>
        </a:prstGeom>
        <a:ln xmlns:a="http://schemas.openxmlformats.org/drawingml/2006/main" w="14288">
          <a:solidFill>
            <a:srgbClr val="C00000"/>
          </a:solidFill>
          <a:prstDash val="solid"/>
        </a:ln>
      </xdr:spPr>
    </xdr:sp>
    <xdr:clientData/>
  </xdr:oneCellAnchor>
  <xdr:oneCellAnchor>
    <xdr:from>
      <xdr:col>7</xdr:col>
      <xdr:colOff>0</xdr:colOff>
      <xdr:row>20</xdr:row>
      <xdr:rowOff>0</xdr:rowOff>
    </xdr:from>
    <xdr:ext cx="1371600" cy="857250"/>
    <xdr:sp>
      <xdr:nvSpPr>
        <xdr:cNvPr id="9" name="shape_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roundRect">
          <a:avLst/>
        </a:prstGeom>
        <a:ln xmlns:a="http://schemas.openxmlformats.org/drawingml/2006/main" w="14288">
          <a:solidFill>
            <a:srgbClr val="666666"/>
          </a:solidFill>
          <a:prstDash val="solid"/>
        </a:ln>
      </xdr:spPr>
    </xdr:sp>
    <xdr:clientData/>
  </xdr:oneCellAnchor>
  <xdr:oneCellAnchor>
    <xdr:from>
      <xdr:col>33</xdr:col>
      <xdr:colOff>0</xdr:colOff>
      <xdr:row>20</xdr:row>
      <xdr:rowOff>0</xdr:rowOff>
    </xdr:from>
    <xdr:ext cx="1371600" cy="857250"/>
    <xdr:sp>
      <xdr:nvSpPr>
        <xdr:cNvPr id="10" name="shape_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roundRect">
          <a:avLst/>
        </a:prstGeom>
        <a:ln xmlns:a="http://schemas.openxmlformats.org/drawingml/2006/main" w="14288">
          <a:solidFill>
            <a:srgbClr val="548235"/>
          </a:solidFill>
          <a:prstDash val="solid"/>
        </a:ln>
      </xdr:spPr>
    </xdr:sp>
    <xdr:clientData/>
  </xdr:oneCellAnchor>
  <xdr:oneCellAnchor>
    <xdr:from>
      <xdr:col>33</xdr:col>
      <xdr:colOff>0</xdr:colOff>
      <xdr:row>33</xdr:row>
      <xdr:rowOff>0</xdr:rowOff>
    </xdr:from>
    <xdr:ext cx="1371600" cy="857250"/>
    <xdr:sp>
      <xdr:nvSpPr>
        <xdr:cNvPr id="11" name="shape_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roundRect">
          <a:avLst/>
        </a:prstGeom>
        <a:ln xmlns:a="http://schemas.openxmlformats.org/drawingml/2006/main" w="14288">
          <a:solidFill>
            <a:srgbClr val="7030A0"/>
          </a:solidFill>
          <a:prstDash val="solid"/>
        </a:ln>
      </xdr:spPr>
    </xdr:sp>
    <xdr:clientData/>
  </xdr:oneCellAnchor>
  <xdr:oneCellAnchor>
    <xdr:from>
      <xdr:col>43</xdr:col>
      <xdr:colOff>0</xdr:colOff>
      <xdr:row>33</xdr:row>
      <xdr:rowOff>0</xdr:rowOff>
    </xdr:from>
    <xdr:ext cx="1371600" cy="857250"/>
    <xdr:sp>
      <xdr:nvSpPr>
        <xdr:cNvPr id="12" name="shape_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roundRect">
          <a:avLst/>
        </a:prstGeom>
        <a:ln xmlns:a="http://schemas.openxmlformats.org/drawingml/2006/main" w="14288">
          <a:solidFill>
            <a:srgbClr val="C00000"/>
          </a:solidFill>
          <a:prstDash val="solid"/>
        </a:ln>
      </xdr:spPr>
    </xdr:sp>
    <xdr:clientData/>
  </xdr:oneCellAnchor>
  <xdr:oneCellAnchor>
    <xdr:from>
      <xdr:col>33</xdr:col>
      <xdr:colOff>0</xdr:colOff>
      <xdr:row>46</xdr:row>
      <xdr:rowOff>0</xdr:rowOff>
    </xdr:from>
    <xdr:ext cx="1371600" cy="857250"/>
    <xdr:sp>
      <xdr:nvSpPr>
        <xdr:cNvPr id="13" name="shape_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roundRect">
          <a:avLst/>
        </a:prstGeom>
        <a:ln xmlns:a="http://schemas.openxmlformats.org/drawingml/2006/main" w="14288">
          <a:solidFill>
            <a:srgbClr val="548235"/>
          </a:solidFill>
          <a:prstDash val="solid"/>
        </a:ln>
      </xdr:spPr>
    </xdr:sp>
    <xdr:clientData/>
  </xdr:oneCellAnchor>
  <xdr:oneCellAnchor>
    <xdr:from>
      <xdr:col>36</xdr:col>
      <xdr:colOff>123825</xdr:colOff>
      <xdr:row>12</xdr:row>
      <xdr:rowOff>0</xdr:rowOff>
    </xdr:from>
    <xdr:ext cx="95250" cy="1371600"/>
    <xdr:sp>
      <xdr:nvSpPr>
        <xdr:cNvPr id="14" name="shape_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" cy="1371600"/>
        </a:xfrm>
        <a:prstGeom xmlns:a="http://schemas.openxmlformats.org/drawingml/2006/main" prst="downArrow">
          <a:avLst/>
        </a:prstGeom>
        <a:solidFill xmlns:a="http://schemas.openxmlformats.org/drawingml/2006/main">
          <a:srgbClr val="548235"/>
        </a:solidFill>
        <a:ln xmlns:a="http://schemas.openxmlformats.org/drawingml/2006/main" w="7620">
          <a:solidFill>
            <a:srgbClr val="548235"/>
          </a:solidFill>
          <a:prstDash val="solid"/>
        </a:ln>
      </xdr:spPr>
    </xdr:sp>
    <xdr:clientData/>
  </xdr:oneCellAnchor>
  <xdr:oneCellAnchor>
    <xdr:from>
      <xdr:col>41</xdr:col>
      <xdr:colOff>0</xdr:colOff>
      <xdr:row>9</xdr:row>
      <xdr:rowOff>38100</xdr:rowOff>
    </xdr:from>
    <xdr:ext cx="342900" cy="95250"/>
    <xdr:sp>
      <xdr:nvSpPr>
        <xdr:cNvPr id="15" name="shape_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42900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C00000"/>
        </a:solidFill>
        <a:ln xmlns:a="http://schemas.openxmlformats.org/drawingml/2006/main" w="7620">
          <a:solidFill>
            <a:srgbClr val="C00000"/>
          </a:solidFill>
          <a:prstDash val="solid"/>
        </a:ln>
      </xdr:spPr>
    </xdr:sp>
    <xdr:clientData/>
  </xdr:oneCellAnchor>
  <xdr:oneCellAnchor>
    <xdr:from>
      <xdr:col>47</xdr:col>
      <xdr:colOff>0</xdr:colOff>
      <xdr:row>12</xdr:row>
      <xdr:rowOff>0</xdr:rowOff>
    </xdr:from>
    <xdr:ext cx="9525" cy="1114425"/>
    <xdr:sp>
      <xdr:nvSpPr>
        <xdr:cNvPr id="16" name="shape_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114425"/>
        </a:xfrm>
        <a:prstGeom xmlns:a="http://schemas.openxmlformats.org/drawingml/2006/main" prst="line">
          <a:avLst/>
        </a:prstGeom>
        <a:ln xmlns:a="http://schemas.openxmlformats.org/drawingml/2006/main" w="14288">
          <a:solidFill>
            <a:srgbClr val="4472C4"/>
          </a:solidFill>
          <a:prstDash val="solid"/>
        </a:ln>
      </xdr:spPr>
    </xdr:sp>
    <xdr:clientData/>
  </xdr:oneCellAnchor>
  <xdr:oneCellAnchor>
    <xdr:from>
      <xdr:col>24</xdr:col>
      <xdr:colOff>0</xdr:colOff>
      <xdr:row>18</xdr:row>
      <xdr:rowOff>85725</xdr:rowOff>
    </xdr:from>
    <xdr:ext cx="3943350" cy="9525"/>
    <xdr:sp>
      <xdr:nvSpPr>
        <xdr:cNvPr id="17" name="shape_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943350" cy="9525"/>
        </a:xfrm>
        <a:prstGeom xmlns:a="http://schemas.openxmlformats.org/drawingml/2006/main" prst="line">
          <a:avLst/>
        </a:prstGeom>
        <a:ln xmlns:a="http://schemas.openxmlformats.org/drawingml/2006/main" w="14288">
          <a:solidFill>
            <a:srgbClr val="4472C4"/>
          </a:solidFill>
          <a:prstDash val="solid"/>
        </a:ln>
      </xdr:spPr>
    </xdr:sp>
    <xdr:clientData/>
  </xdr:oneCellAnchor>
  <xdr:oneCellAnchor>
    <xdr:from>
      <xdr:col>23</xdr:col>
      <xdr:colOff>123825</xdr:colOff>
      <xdr:row>12</xdr:row>
      <xdr:rowOff>0</xdr:rowOff>
    </xdr:from>
    <xdr:ext cx="95250" cy="1114425"/>
    <xdr:sp>
      <xdr:nvSpPr>
        <xdr:cNvPr id="18" name="shape_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" cy="1114425"/>
        </a:xfrm>
        <a:prstGeom xmlns:a="http://schemas.openxmlformats.org/drawingml/2006/main" prst="upArrow">
          <a:avLst/>
        </a:prstGeom>
        <a:solidFill xmlns:a="http://schemas.openxmlformats.org/drawingml/2006/main">
          <a:srgbClr val="4472C4"/>
        </a:solidFill>
        <a:ln xmlns:a="http://schemas.openxmlformats.org/drawingml/2006/main" w="7620">
          <a:solidFill>
            <a:srgbClr val="4472C4"/>
          </a:solidFill>
          <a:prstDash val="solid"/>
        </a:ln>
      </xdr:spPr>
    </xdr:sp>
    <xdr:clientData/>
  </xdr:oneCellAnchor>
  <xdr:oneCellAnchor>
    <xdr:from>
      <xdr:col>46</xdr:col>
      <xdr:colOff>138113</xdr:colOff>
      <xdr:row>18</xdr:row>
      <xdr:rowOff>52388</xdr:rowOff>
    </xdr:from>
    <xdr:ext cx="66675" cy="66675"/>
    <xdr:sp>
      <xdr:nvSpPr>
        <xdr:cNvPr id="19" name="shape_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6675" cy="66675"/>
        </a:xfrm>
        <a:prstGeom xmlns:a="http://schemas.openxmlformats.org/drawingml/2006/main" prst="ellipse">
          <a:avLst/>
        </a:prstGeom>
        <a:solidFill xmlns:a="http://schemas.openxmlformats.org/drawingml/2006/main">
          <a:srgbClr val="4472C4"/>
        </a:solidFill>
        <a:ln xmlns:a="http://schemas.openxmlformats.org/drawingml/2006/main" w="4763">
          <a:solidFill>
            <a:srgbClr val="4472C4"/>
          </a:solidFill>
          <a:prstDash val="solid"/>
        </a:ln>
      </xdr:spPr>
    </xdr:sp>
    <xdr:clientData/>
  </xdr:oneCellAnchor>
  <xdr:oneCellAnchor>
    <xdr:from>
      <xdr:col>10</xdr:col>
      <xdr:colOff>123825</xdr:colOff>
      <xdr:row>12</xdr:row>
      <xdr:rowOff>0</xdr:rowOff>
    </xdr:from>
    <xdr:ext cx="95250" cy="1371600"/>
    <xdr:sp>
      <xdr:nvSpPr>
        <xdr:cNvPr id="20" name="shape_4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" cy="1371600"/>
        </a:xfrm>
        <a:prstGeom xmlns:a="http://schemas.openxmlformats.org/drawingml/2006/main" prst="downArrow">
          <a:avLst/>
        </a:prstGeom>
        <a:solidFill xmlns:a="http://schemas.openxmlformats.org/drawingml/2006/main">
          <a:srgbClr val="666666"/>
        </a:solidFill>
        <a:ln xmlns:a="http://schemas.openxmlformats.org/drawingml/2006/main" w="7620">
          <a:solidFill>
            <a:srgbClr val="666666"/>
          </a:solidFill>
          <a:prstDash val="solid"/>
        </a:ln>
      </xdr:spPr>
    </xdr:sp>
    <xdr:clientData/>
  </xdr:oneCellAnchor>
  <xdr:oneCellAnchor>
    <xdr:from>
      <xdr:col>36</xdr:col>
      <xdr:colOff>123825</xdr:colOff>
      <xdr:row>25</xdr:row>
      <xdr:rowOff>0</xdr:rowOff>
    </xdr:from>
    <xdr:ext cx="95250" cy="1371600"/>
    <xdr:sp>
      <xdr:nvSpPr>
        <xdr:cNvPr id="21" name="shape_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" cy="1371600"/>
        </a:xfrm>
        <a:prstGeom xmlns:a="http://schemas.openxmlformats.org/drawingml/2006/main" prst="downArrow">
          <a:avLst/>
        </a:prstGeom>
        <a:solidFill xmlns:a="http://schemas.openxmlformats.org/drawingml/2006/main">
          <a:srgbClr val="7030A0"/>
        </a:solidFill>
        <a:ln xmlns:a="http://schemas.openxmlformats.org/drawingml/2006/main" w="7620">
          <a:solidFill>
            <a:srgbClr val="7030A0"/>
          </a:solidFill>
          <a:prstDash val="solid"/>
        </a:ln>
      </xdr:spPr>
    </xdr:sp>
    <xdr:clientData/>
  </xdr:oneCellAnchor>
  <xdr:oneCellAnchor>
    <xdr:from>
      <xdr:col>41</xdr:col>
      <xdr:colOff>0</xdr:colOff>
      <xdr:row>35</xdr:row>
      <xdr:rowOff>38100</xdr:rowOff>
    </xdr:from>
    <xdr:ext cx="342900" cy="95250"/>
    <xdr:sp>
      <xdr:nvSpPr>
        <xdr:cNvPr id="22" name="shape_4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42900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C00000"/>
        </a:solidFill>
        <a:ln xmlns:a="http://schemas.openxmlformats.org/drawingml/2006/main" w="7620">
          <a:solidFill>
            <a:srgbClr val="C00000"/>
          </a:solidFill>
          <a:prstDash val="solid"/>
        </a:ln>
      </xdr:spPr>
    </xdr:sp>
    <xdr:clientData/>
  </xdr:oneCellAnchor>
  <xdr:oneCellAnchor>
    <xdr:from>
      <xdr:col>47</xdr:col>
      <xdr:colOff>0</xdr:colOff>
      <xdr:row>38</xdr:row>
      <xdr:rowOff>0</xdr:rowOff>
    </xdr:from>
    <xdr:ext cx="9525" cy="600075"/>
    <xdr:sp>
      <xdr:nvSpPr>
        <xdr:cNvPr id="23" name="shape_4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600075"/>
        </a:xfrm>
        <a:prstGeom xmlns:a="http://schemas.openxmlformats.org/drawingml/2006/main" prst="line">
          <a:avLst/>
        </a:prstGeom>
        <a:ln xmlns:a="http://schemas.openxmlformats.org/drawingml/2006/main" w="11430">
          <a:solidFill>
            <a:srgbClr val="7030A0"/>
          </a:solidFill>
          <a:prstDash val="dash"/>
        </a:ln>
      </xdr:spPr>
    </xdr:sp>
    <xdr:clientData/>
  </xdr:oneCellAnchor>
  <xdr:oneCellAnchor>
    <xdr:from>
      <xdr:col>37</xdr:col>
      <xdr:colOff>0</xdr:colOff>
      <xdr:row>41</xdr:row>
      <xdr:rowOff>85725</xdr:rowOff>
    </xdr:from>
    <xdr:ext cx="1714500" cy="9525"/>
    <xdr:sp>
      <xdr:nvSpPr>
        <xdr:cNvPr id="24" name="shape_4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0" cy="9525"/>
        </a:xfrm>
        <a:prstGeom xmlns:a="http://schemas.openxmlformats.org/drawingml/2006/main" prst="line">
          <a:avLst/>
        </a:prstGeom>
        <a:ln xmlns:a="http://schemas.openxmlformats.org/drawingml/2006/main" w="11430">
          <a:solidFill>
            <a:srgbClr val="7030A0"/>
          </a:solidFill>
          <a:prstDash val="dash"/>
        </a:ln>
      </xdr:spPr>
    </xdr:sp>
    <xdr:clientData/>
  </xdr:oneCellAnchor>
  <xdr:oneCellAnchor>
    <xdr:from>
      <xdr:col>36</xdr:col>
      <xdr:colOff>133350</xdr:colOff>
      <xdr:row>38</xdr:row>
      <xdr:rowOff>0</xdr:rowOff>
    </xdr:from>
    <xdr:ext cx="76200" cy="600075"/>
    <xdr:sp>
      <xdr:nvSpPr>
        <xdr:cNvPr id="25" name="shape_4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6200" cy="600075"/>
        </a:xfrm>
        <a:prstGeom xmlns:a="http://schemas.openxmlformats.org/drawingml/2006/main" prst="upArrow">
          <a:avLst/>
        </a:prstGeom>
        <a:solidFill xmlns:a="http://schemas.openxmlformats.org/drawingml/2006/main">
          <a:srgbClr val="7030A0"/>
        </a:solidFill>
        <a:ln xmlns:a="http://schemas.openxmlformats.org/drawingml/2006/main" w="7620">
          <a:solidFill>
            <a:srgbClr val="7030A0"/>
          </a:solidFill>
          <a:prstDash val="solid"/>
        </a:ln>
      </xdr:spPr>
    </xdr:sp>
    <xdr:clientData/>
  </xdr:oneCellAnchor>
  <xdr:oneCellAnchor>
    <xdr:from>
      <xdr:col>36</xdr:col>
      <xdr:colOff>123825</xdr:colOff>
      <xdr:row>38</xdr:row>
      <xdr:rowOff>0</xdr:rowOff>
    </xdr:from>
    <xdr:ext cx="95250" cy="1371600"/>
    <xdr:sp>
      <xdr:nvSpPr>
        <xdr:cNvPr id="26" name="shape_4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" cy="1371600"/>
        </a:xfrm>
        <a:prstGeom xmlns:a="http://schemas.openxmlformats.org/drawingml/2006/main" prst="downArrow">
          <a:avLst/>
        </a:prstGeom>
        <a:solidFill xmlns:a="http://schemas.openxmlformats.org/drawingml/2006/main">
          <a:srgbClr val="548235"/>
        </a:solidFill>
        <a:ln xmlns:a="http://schemas.openxmlformats.org/drawingml/2006/main" w="7620">
          <a:solidFill>
            <a:srgbClr val="548235"/>
          </a:solidFill>
          <a:prstDash val="solid"/>
        </a:ln>
      </xdr:spPr>
    </xdr:sp>
    <xdr:clientData/>
  </xdr:oneCellAnchor>
  <xdr:oneCellAnchor>
    <xdr:from>
      <xdr:col>41</xdr:col>
      <xdr:colOff>0</xdr:colOff>
      <xdr:row>48</xdr:row>
      <xdr:rowOff>38100</xdr:rowOff>
    </xdr:from>
    <xdr:ext cx="857250" cy="95250"/>
    <xdr:sp>
      <xdr:nvSpPr>
        <xdr:cNvPr id="27" name="shape_4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57250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548235"/>
        </a:solidFill>
        <a:ln xmlns:a="http://schemas.openxmlformats.org/drawingml/2006/main" w="7620">
          <a:solidFill>
            <a:srgbClr val="548235"/>
          </a:solidFill>
          <a:prstDash val="solid"/>
        </a:ln>
      </xdr:spPr>
    </xdr:sp>
    <xdr:clientData/>
  </xdr:oneCellAnchor>
  <xdr:oneCellAnchor>
    <xdr:from>
      <xdr:col>45</xdr:col>
      <xdr:colOff>161925</xdr:colOff>
      <xdr:row>47</xdr:row>
      <xdr:rowOff>76200</xdr:rowOff>
    </xdr:from>
    <xdr:ext cx="361950" cy="361950"/>
    <xdr:sp>
      <xdr:nvSpPr>
        <xdr:cNvPr id="28" name="shape_4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61950" cy="361950"/>
        </a:xfrm>
        <a:prstGeom xmlns:a="http://schemas.openxmlformats.org/drawingml/2006/main" prst="ellipse">
          <a:avLst/>
        </a:prstGeom>
        <a:ln xmlns:a="http://schemas.openxmlformats.org/drawingml/2006/main" w="19050">
          <a:solidFill>
            <a:srgbClr val="1F1F1F"/>
          </a:solidFill>
          <a:prstDash val="solid"/>
        </a:ln>
      </xdr:spPr>
    </xdr:sp>
    <xdr:clientData/>
  </xdr:oneCellAnchor>
  <xdr:oneCellAnchor>
    <xdr:from>
      <xdr:col>46</xdr:col>
      <xdr:colOff>47625</xdr:colOff>
      <xdr:row>47</xdr:row>
      <xdr:rowOff>133350</xdr:rowOff>
    </xdr:from>
    <xdr:ext cx="247650" cy="247650"/>
    <xdr:sp>
      <xdr:nvSpPr>
        <xdr:cNvPr id="29" name="shape_5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47650" cy="247650"/>
        </a:xfrm>
        <a:prstGeom xmlns:a="http://schemas.openxmlformats.org/drawingml/2006/main" prst="ellipse">
          <a:avLst/>
        </a:prstGeom>
        <a:ln xmlns:a="http://schemas.openxmlformats.org/drawingml/2006/main" w="14288">
          <a:solidFill>
            <a:srgbClr val="1F1F1F"/>
          </a:solidFill>
          <a:prstDash val="solid"/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6</xdr:row>
      <xdr:rowOff>0</xdr:rowOff>
    </xdr:from>
    <xdr:ext cx="9944100" cy="15601950"/>
    <xdr:sp>
      <xdr:nvSpPr>
        <xdr:cNvPr id="1" name="shape_5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944100" cy="15601950"/>
        </a:xfrm>
        <a:prstGeom xmlns:a="http://schemas.openxmlformats.org/drawingml/2006/main" prst="rect">
          <a:avLst/>
        </a:prstGeom>
        <a:ln xmlns:a="http://schemas.openxmlformats.org/drawingml/2006/main" w="9525">
          <a:solidFill>
            <a:srgbClr val="666666"/>
          </a:solidFill>
          <a:prstDash val="solid"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1028700" cy="685800"/>
    <xdr:sp>
      <xdr:nvSpPr>
        <xdr:cNvPr id="2" name="shape_5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28700" cy="68580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548235"/>
          </a:solidFill>
          <a:prstDash val="solid"/>
        </a:ln>
      </xdr:spPr>
    </xdr:sp>
    <xdr:clientData/>
  </xdr:oneCellAnchor>
  <xdr:oneCellAnchor>
    <xdr:from>
      <xdr:col>4</xdr:col>
      <xdr:colOff>0</xdr:colOff>
      <xdr:row>12</xdr:row>
      <xdr:rowOff>0</xdr:rowOff>
    </xdr:from>
    <xdr:ext cx="9525" cy="14401800"/>
    <xdr:sp>
      <xdr:nvSpPr>
        <xdr:cNvPr id="3" name="shape_5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44018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548235"/>
          </a:solidFill>
          <a:prstDash val="dash"/>
        </a:ln>
      </xdr:spPr>
    </xdr:sp>
    <xdr:clientData/>
  </xdr:oneCellAnchor>
  <xdr:oneCellAnchor>
    <xdr:from>
      <xdr:col>8</xdr:col>
      <xdr:colOff>0</xdr:colOff>
      <xdr:row>8</xdr:row>
      <xdr:rowOff>0</xdr:rowOff>
    </xdr:from>
    <xdr:ext cx="1028700" cy="685800"/>
    <xdr:sp>
      <xdr:nvSpPr>
        <xdr:cNvPr id="4" name="shape_5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28700" cy="68580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2F75B5"/>
          </a:solidFill>
          <a:prstDash val="solid"/>
        </a:ln>
      </xdr:spPr>
    </xdr:sp>
    <xdr:clientData/>
  </xdr:oneCellAnchor>
  <xdr:oneCellAnchor>
    <xdr:from>
      <xdr:col>11</xdr:col>
      <xdr:colOff>0</xdr:colOff>
      <xdr:row>12</xdr:row>
      <xdr:rowOff>0</xdr:rowOff>
    </xdr:from>
    <xdr:ext cx="9525" cy="14401800"/>
    <xdr:sp>
      <xdr:nvSpPr>
        <xdr:cNvPr id="5" name="shape_5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44018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2F75B5"/>
          </a:solidFill>
          <a:prstDash val="dash"/>
        </a:ln>
      </xdr:spPr>
    </xdr:sp>
    <xdr:clientData/>
  </xdr:oneCellAnchor>
  <xdr:oneCellAnchor>
    <xdr:from>
      <xdr:col>15</xdr:col>
      <xdr:colOff>0</xdr:colOff>
      <xdr:row>8</xdr:row>
      <xdr:rowOff>0</xdr:rowOff>
    </xdr:from>
    <xdr:ext cx="1371600" cy="685800"/>
    <xdr:sp>
      <xdr:nvSpPr>
        <xdr:cNvPr id="6" name="shape_5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68580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1F4E78"/>
          </a:solidFill>
          <a:prstDash val="solid"/>
        </a:ln>
      </xdr:spPr>
    </xdr:sp>
    <xdr:clientData/>
  </xdr:oneCellAnchor>
  <xdr:oneCellAnchor>
    <xdr:from>
      <xdr:col>19</xdr:col>
      <xdr:colOff>0</xdr:colOff>
      <xdr:row>12</xdr:row>
      <xdr:rowOff>0</xdr:rowOff>
    </xdr:from>
    <xdr:ext cx="9525" cy="14401800"/>
    <xdr:sp>
      <xdr:nvSpPr>
        <xdr:cNvPr id="7" name="shape_5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44018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1F4E78"/>
          </a:solidFill>
          <a:prstDash val="dash"/>
        </a:ln>
      </xdr:spPr>
    </xdr:sp>
    <xdr:clientData/>
  </xdr:oneCellAnchor>
  <xdr:oneCellAnchor>
    <xdr:from>
      <xdr:col>24</xdr:col>
      <xdr:colOff>0</xdr:colOff>
      <xdr:row>8</xdr:row>
      <xdr:rowOff>0</xdr:rowOff>
    </xdr:from>
    <xdr:ext cx="1200150" cy="685800"/>
    <xdr:sp>
      <xdr:nvSpPr>
        <xdr:cNvPr id="8" name="shape_5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68580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548235"/>
          </a:solidFill>
          <a:prstDash val="solid"/>
        </a:ln>
      </xdr:spPr>
    </xdr:sp>
    <xdr:clientData/>
  </xdr:oneCellAnchor>
  <xdr:oneCellAnchor>
    <xdr:from>
      <xdr:col>27</xdr:col>
      <xdr:colOff>85725</xdr:colOff>
      <xdr:row>12</xdr:row>
      <xdr:rowOff>0</xdr:rowOff>
    </xdr:from>
    <xdr:ext cx="9525" cy="14401800"/>
    <xdr:sp>
      <xdr:nvSpPr>
        <xdr:cNvPr id="9" name="shape_5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44018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548235"/>
          </a:solidFill>
          <a:prstDash val="dash"/>
        </a:ln>
      </xdr:spPr>
    </xdr:sp>
    <xdr:clientData/>
  </xdr:oneCellAnchor>
  <xdr:oneCellAnchor>
    <xdr:from>
      <xdr:col>32</xdr:col>
      <xdr:colOff>0</xdr:colOff>
      <xdr:row>8</xdr:row>
      <xdr:rowOff>0</xdr:rowOff>
    </xdr:from>
    <xdr:ext cx="1200150" cy="685800"/>
    <xdr:sp>
      <xdr:nvSpPr>
        <xdr:cNvPr id="10" name="shape_6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68580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4472C4"/>
          </a:solidFill>
          <a:prstDash val="solid"/>
        </a:ln>
      </xdr:spPr>
    </xdr:sp>
    <xdr:clientData/>
  </xdr:oneCellAnchor>
  <xdr:oneCellAnchor>
    <xdr:from>
      <xdr:col>35</xdr:col>
      <xdr:colOff>85725</xdr:colOff>
      <xdr:row>12</xdr:row>
      <xdr:rowOff>0</xdr:rowOff>
    </xdr:from>
    <xdr:ext cx="9525" cy="14401800"/>
    <xdr:sp>
      <xdr:nvSpPr>
        <xdr:cNvPr id="11" name="shape_6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44018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4472C4"/>
          </a:solidFill>
          <a:prstDash val="dash"/>
        </a:ln>
      </xdr:spPr>
    </xdr:sp>
    <xdr:clientData/>
  </xdr:oneCellAnchor>
  <xdr:oneCellAnchor>
    <xdr:from>
      <xdr:col>40</xdr:col>
      <xdr:colOff>0</xdr:colOff>
      <xdr:row>8</xdr:row>
      <xdr:rowOff>0</xdr:rowOff>
    </xdr:from>
    <xdr:ext cx="1200150" cy="685800"/>
    <xdr:sp>
      <xdr:nvSpPr>
        <xdr:cNvPr id="12" name="shape_6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68580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7030A0"/>
          </a:solidFill>
          <a:prstDash val="solid"/>
        </a:ln>
      </xdr:spPr>
    </xdr:sp>
    <xdr:clientData/>
  </xdr:oneCellAnchor>
  <xdr:oneCellAnchor>
    <xdr:from>
      <xdr:col>43</xdr:col>
      <xdr:colOff>85725</xdr:colOff>
      <xdr:row>12</xdr:row>
      <xdr:rowOff>0</xdr:rowOff>
    </xdr:from>
    <xdr:ext cx="9525" cy="14401800"/>
    <xdr:sp>
      <xdr:nvSpPr>
        <xdr:cNvPr id="13" name="shape_6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44018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7030A0"/>
          </a:solidFill>
          <a:prstDash val="dash"/>
        </a:ln>
      </xdr:spPr>
    </xdr:sp>
    <xdr:clientData/>
  </xdr:oneCellAnchor>
  <xdr:oneCellAnchor>
    <xdr:from>
      <xdr:col>49</xdr:col>
      <xdr:colOff>0</xdr:colOff>
      <xdr:row>8</xdr:row>
      <xdr:rowOff>0</xdr:rowOff>
    </xdr:from>
    <xdr:ext cx="1371600" cy="685800"/>
    <xdr:sp>
      <xdr:nvSpPr>
        <xdr:cNvPr id="14" name="shape_6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68580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C55A11"/>
          </a:solidFill>
          <a:prstDash val="solid"/>
        </a:ln>
      </xdr:spPr>
    </xdr:sp>
    <xdr:clientData/>
  </xdr:oneCellAnchor>
  <xdr:oneCellAnchor>
    <xdr:from>
      <xdr:col>53</xdr:col>
      <xdr:colOff>0</xdr:colOff>
      <xdr:row>12</xdr:row>
      <xdr:rowOff>0</xdr:rowOff>
    </xdr:from>
    <xdr:ext cx="9525" cy="14401800"/>
    <xdr:sp>
      <xdr:nvSpPr>
        <xdr:cNvPr id="15" name="shape_6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44018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C55A11"/>
          </a:solidFill>
          <a:prstDash val="dash"/>
        </a:ln>
      </xdr:spPr>
    </xdr:sp>
    <xdr:clientData/>
  </xdr:oneCellAnchor>
  <xdr:oneCellAnchor>
    <xdr:from>
      <xdr:col>10</xdr:col>
      <xdr:colOff>95250</xdr:colOff>
      <xdr:row>15</xdr:row>
      <xdr:rowOff>0</xdr:rowOff>
    </xdr:from>
    <xdr:ext cx="152400" cy="6858000"/>
    <xdr:sp>
      <xdr:nvSpPr>
        <xdr:cNvPr id="16" name="shape_6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2400" cy="6858000"/>
        </a:xfrm>
        <a:prstGeom xmlns:a="http://schemas.openxmlformats.org/drawingml/2006/main" prst="rect">
          <a:avLst/>
        </a:prstGeom>
        <a:solidFill xmlns:a="http://schemas.openxmlformats.org/drawingml/2006/main">
          <a:srgbClr val="D9EAF7"/>
        </a:solidFill>
        <a:ln xmlns:a="http://schemas.openxmlformats.org/drawingml/2006/main" w="9525">
          <a:solidFill>
            <a:srgbClr val="2F75B5"/>
          </a:solidFill>
          <a:prstDash val="solid"/>
        </a:ln>
      </xdr:spPr>
    </xdr:sp>
    <xdr:clientData/>
  </xdr:oneCellAnchor>
  <xdr:oneCellAnchor>
    <xdr:from>
      <xdr:col>18</xdr:col>
      <xdr:colOff>95250</xdr:colOff>
      <xdr:row>19</xdr:row>
      <xdr:rowOff>0</xdr:rowOff>
    </xdr:from>
    <xdr:ext cx="152400" cy="5657850"/>
    <xdr:sp>
      <xdr:nvSpPr>
        <xdr:cNvPr id="17" name="shape_6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2400" cy="5657850"/>
        </a:xfrm>
        <a:prstGeom xmlns:a="http://schemas.openxmlformats.org/drawingml/2006/main" prst="rect">
          <a:avLst/>
        </a:prstGeom>
        <a:solidFill xmlns:a="http://schemas.openxmlformats.org/drawingml/2006/main">
          <a:srgbClr val="D9EAF7"/>
        </a:solidFill>
        <a:ln xmlns:a="http://schemas.openxmlformats.org/drawingml/2006/main" w="9525">
          <a:solidFill>
            <a:srgbClr val="1F4E78"/>
          </a:solidFill>
          <a:prstDash val="solid"/>
        </a:ln>
      </xdr:spPr>
    </xdr:sp>
    <xdr:clientData/>
  </xdr:oneCellAnchor>
  <xdr:oneCellAnchor>
    <xdr:from>
      <xdr:col>27</xdr:col>
      <xdr:colOff>9525</xdr:colOff>
      <xdr:row>36</xdr:row>
      <xdr:rowOff>0</xdr:rowOff>
    </xdr:from>
    <xdr:ext cx="152400" cy="2228850"/>
    <xdr:sp>
      <xdr:nvSpPr>
        <xdr:cNvPr id="18" name="shape_6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2400" cy="2228850"/>
        </a:xfrm>
        <a:prstGeom xmlns:a="http://schemas.openxmlformats.org/drawingml/2006/main" prst="rect">
          <a:avLst/>
        </a:prstGeom>
        <a:solidFill xmlns:a="http://schemas.openxmlformats.org/drawingml/2006/main">
          <a:srgbClr val="E2F0D9"/>
        </a:solidFill>
        <a:ln xmlns:a="http://schemas.openxmlformats.org/drawingml/2006/main" w="9525">
          <a:solidFill>
            <a:srgbClr val="548235"/>
          </a:solidFill>
          <a:prstDash val="solid"/>
        </a:ln>
      </xdr:spPr>
    </xdr:sp>
    <xdr:clientData/>
  </xdr:oneCellAnchor>
  <xdr:oneCellAnchor>
    <xdr:from>
      <xdr:col>35</xdr:col>
      <xdr:colOff>9525</xdr:colOff>
      <xdr:row>58</xdr:row>
      <xdr:rowOff>0</xdr:rowOff>
    </xdr:from>
    <xdr:ext cx="152400" cy="2400300"/>
    <xdr:sp>
      <xdr:nvSpPr>
        <xdr:cNvPr id="19" name="shape_6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2400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D9EAF7"/>
        </a:solidFill>
        <a:ln xmlns:a="http://schemas.openxmlformats.org/drawingml/2006/main" w="9525">
          <a:solidFill>
            <a:srgbClr val="4472C4"/>
          </a:solidFill>
          <a:prstDash val="solid"/>
        </a:ln>
      </xdr:spPr>
    </xdr:sp>
    <xdr:clientData/>
  </xdr:oneCellAnchor>
  <xdr:oneCellAnchor>
    <xdr:from>
      <xdr:col>27</xdr:col>
      <xdr:colOff>9525</xdr:colOff>
      <xdr:row>58</xdr:row>
      <xdr:rowOff>0</xdr:rowOff>
    </xdr:from>
    <xdr:ext cx="152400" cy="857250"/>
    <xdr:sp>
      <xdr:nvSpPr>
        <xdr:cNvPr id="20" name="shape_7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2400" cy="857250"/>
        </a:xfrm>
        <a:prstGeom xmlns:a="http://schemas.openxmlformats.org/drawingml/2006/main" prst="rect">
          <a:avLst/>
        </a:prstGeom>
        <a:solidFill xmlns:a="http://schemas.openxmlformats.org/drawingml/2006/main">
          <a:srgbClr val="E2F0D9"/>
        </a:solidFill>
        <a:ln xmlns:a="http://schemas.openxmlformats.org/drawingml/2006/main" w="9525">
          <a:solidFill>
            <a:srgbClr val="548235"/>
          </a:solidFill>
          <a:prstDash val="solid"/>
        </a:ln>
      </xdr:spPr>
    </xdr:sp>
    <xdr:clientData/>
  </xdr:oneCellAnchor>
  <xdr:oneCellAnchor>
    <xdr:from>
      <xdr:col>43</xdr:col>
      <xdr:colOff>9525</xdr:colOff>
      <xdr:row>66</xdr:row>
      <xdr:rowOff>0</xdr:rowOff>
    </xdr:from>
    <xdr:ext cx="152400" cy="1543050"/>
    <xdr:sp>
      <xdr:nvSpPr>
        <xdr:cNvPr id="21" name="shape_7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2400" cy="1543050"/>
        </a:xfrm>
        <a:prstGeom xmlns:a="http://schemas.openxmlformats.org/drawingml/2006/main" prst="rect">
          <a:avLst/>
        </a:prstGeom>
        <a:solidFill xmlns:a="http://schemas.openxmlformats.org/drawingml/2006/main">
          <a:srgbClr val="E4DFEC"/>
        </a:solidFill>
        <a:ln xmlns:a="http://schemas.openxmlformats.org/drawingml/2006/main" w="9525">
          <a:solidFill>
            <a:srgbClr val="7030A0"/>
          </a:solidFill>
          <a:prstDash val="solid"/>
        </a:ln>
      </xdr:spPr>
    </xdr:sp>
    <xdr:clientData/>
  </xdr:oneCellAnchor>
  <xdr:oneCellAnchor>
    <xdr:from>
      <xdr:col>52</xdr:col>
      <xdr:colOff>95250</xdr:colOff>
      <xdr:row>73</xdr:row>
      <xdr:rowOff>0</xdr:rowOff>
    </xdr:from>
    <xdr:ext cx="152400" cy="3600450"/>
    <xdr:sp>
      <xdr:nvSpPr>
        <xdr:cNvPr id="22" name="shape_7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2400" cy="3600450"/>
        </a:xfrm>
        <a:prstGeom xmlns:a="http://schemas.openxmlformats.org/drawingml/2006/main" prst="rect">
          <a:avLst/>
        </a:prstGeom>
        <a:solidFill xmlns:a="http://schemas.openxmlformats.org/drawingml/2006/main">
          <a:srgbClr val="FCE4D6"/>
        </a:solidFill>
        <a:ln xmlns:a="http://schemas.openxmlformats.org/drawingml/2006/main" w="9525">
          <a:solidFill>
            <a:srgbClr val="C55A11"/>
          </a:solidFill>
          <a:prstDash val="solid"/>
        </a:ln>
      </xdr:spPr>
    </xdr:sp>
    <xdr:clientData/>
  </xdr:oneCellAnchor>
  <xdr:oneCellAnchor>
    <xdr:from>
      <xdr:col>27</xdr:col>
      <xdr:colOff>9525</xdr:colOff>
      <xdr:row>89</xdr:row>
      <xdr:rowOff>0</xdr:rowOff>
    </xdr:from>
    <xdr:ext cx="152400" cy="857250"/>
    <xdr:sp>
      <xdr:nvSpPr>
        <xdr:cNvPr id="23" name="shape_7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2400" cy="857250"/>
        </a:xfrm>
        <a:prstGeom xmlns:a="http://schemas.openxmlformats.org/drawingml/2006/main" prst="rect">
          <a:avLst/>
        </a:prstGeom>
        <a:solidFill xmlns:a="http://schemas.openxmlformats.org/drawingml/2006/main">
          <a:srgbClr val="E2F0D9"/>
        </a:solidFill>
        <a:ln xmlns:a="http://schemas.openxmlformats.org/drawingml/2006/main" w="9525">
          <a:solidFill>
            <a:srgbClr val="548235"/>
          </a:solidFill>
          <a:prstDash val="solid"/>
        </a:ln>
      </xdr:spPr>
    </xdr:sp>
    <xdr:clientData/>
  </xdr:oneCellAnchor>
  <xdr:oneCellAnchor>
    <xdr:from>
      <xdr:col>4</xdr:col>
      <xdr:colOff>0</xdr:colOff>
      <xdr:row>15</xdr:row>
      <xdr:rowOff>38100</xdr:rowOff>
    </xdr:from>
    <xdr:ext cx="1200150" cy="95250"/>
    <xdr:sp>
      <xdr:nvSpPr>
        <xdr:cNvPr id="24" name="shape_7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4472C4"/>
        </a:solidFill>
        <a:ln xmlns:a="http://schemas.openxmlformats.org/drawingml/2006/main" w="7620">
          <a:solidFill>
            <a:srgbClr val="4472C4"/>
          </a:solidFill>
          <a:prstDash val="solid"/>
        </a:ln>
      </xdr:spPr>
    </xdr:sp>
    <xdr:clientData/>
  </xdr:oneCellAnchor>
  <xdr:oneCellAnchor>
    <xdr:from>
      <xdr:col>11</xdr:col>
      <xdr:colOff>0</xdr:colOff>
      <xdr:row>19</xdr:row>
      <xdr:rowOff>38100</xdr:rowOff>
    </xdr:from>
    <xdr:ext cx="1371600" cy="95250"/>
    <xdr:sp>
      <xdr:nvSpPr>
        <xdr:cNvPr id="25" name="shape_7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4472C4"/>
        </a:solidFill>
        <a:ln xmlns:a="http://schemas.openxmlformats.org/drawingml/2006/main" w="7620">
          <a:solidFill>
            <a:srgbClr val="4472C4"/>
          </a:solidFill>
          <a:prstDash val="solid"/>
        </a:ln>
      </xdr:spPr>
    </xdr:sp>
    <xdr:clientData/>
  </xdr:oneCellAnchor>
  <xdr:oneCellAnchor>
    <xdr:from>
      <xdr:col>20</xdr:col>
      <xdr:colOff>0</xdr:colOff>
      <xdr:row>22</xdr:row>
      <xdr:rowOff>0</xdr:rowOff>
    </xdr:from>
    <xdr:ext cx="685800" cy="685800"/>
    <xdr:sp>
      <xdr:nvSpPr>
        <xdr:cNvPr id="26" name="shape_7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85800" cy="685800"/>
        </a:xfrm>
        <a:prstGeom xmlns:a="http://schemas.openxmlformats.org/drawingml/2006/main" prst="foldedCorner">
          <a:avLst/>
        </a:prstGeom>
        <a:ln xmlns:a="http://schemas.openxmlformats.org/drawingml/2006/main" w="14288">
          <a:solidFill>
            <a:srgbClr val="1F4E78"/>
          </a:solidFill>
          <a:prstDash val="solid"/>
        </a:ln>
      </xdr:spPr>
    </xdr:sp>
    <xdr:clientData/>
  </xdr:oneCellAnchor>
  <xdr:oneCellAnchor>
    <xdr:from>
      <xdr:col>19</xdr:col>
      <xdr:colOff>76200</xdr:colOff>
      <xdr:row>24</xdr:row>
      <xdr:rowOff>0</xdr:rowOff>
    </xdr:from>
    <xdr:ext cx="95250" cy="9525"/>
    <xdr:sp>
      <xdr:nvSpPr>
        <xdr:cNvPr id="27" name="shape_7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" cy="9525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1F4E78"/>
          </a:solidFill>
          <a:prstDash val="dash"/>
        </a:ln>
      </xdr:spPr>
    </xdr:sp>
    <xdr:clientData/>
  </xdr:oneCellAnchor>
  <xdr:oneCellAnchor>
    <xdr:from>
      <xdr:col>6</xdr:col>
      <xdr:colOff>0</xdr:colOff>
      <xdr:row>27</xdr:row>
      <xdr:rowOff>0</xdr:rowOff>
    </xdr:from>
    <xdr:ext cx="3086100" cy="1200150"/>
    <xdr:sp>
      <xdr:nvSpPr>
        <xdr:cNvPr id="28" name="shape_7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086100" cy="1200150"/>
        </a:xfrm>
        <a:prstGeom xmlns:a="http://schemas.openxmlformats.org/drawingml/2006/main" prst="rect">
          <a:avLst/>
        </a:prstGeom>
        <a:ln xmlns:a="http://schemas.openxmlformats.org/drawingml/2006/main" w="9525">
          <a:solidFill>
            <a:srgbClr val="C00000"/>
          </a:solidFill>
          <a:prstDash val="solid"/>
        </a:ln>
      </xdr:spPr>
    </xdr:sp>
    <xdr:clientData/>
  </xdr:oneCellAnchor>
  <xdr:oneCellAnchor>
    <xdr:from>
      <xdr:col>11</xdr:col>
      <xdr:colOff>0</xdr:colOff>
      <xdr:row>31</xdr:row>
      <xdr:rowOff>85725</xdr:rowOff>
    </xdr:from>
    <xdr:ext cx="1371600" cy="9525"/>
    <xdr:sp>
      <xdr:nvSpPr>
        <xdr:cNvPr id="29" name="shape_7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9525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C00000"/>
          </a:solidFill>
          <a:prstDash val="dash"/>
        </a:ln>
      </xdr:spPr>
    </xdr:sp>
    <xdr:clientData/>
  </xdr:oneCellAnchor>
  <xdr:oneCellAnchor>
    <xdr:from>
      <xdr:col>11</xdr:col>
      <xdr:colOff>0</xdr:colOff>
      <xdr:row>31</xdr:row>
      <xdr:rowOff>42863</xdr:rowOff>
    </xdr:from>
    <xdr:ext cx="171450" cy="85725"/>
    <xdr:sp>
      <xdr:nvSpPr>
        <xdr:cNvPr id="30" name="shape_8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" cy="85725"/>
        </a:xfrm>
        <a:prstGeom xmlns:a="http://schemas.openxmlformats.org/drawingml/2006/main" prst="leftArrow">
          <a:avLst/>
        </a:prstGeom>
        <a:solidFill xmlns:a="http://schemas.openxmlformats.org/drawingml/2006/main">
          <a:srgbClr val="C00000"/>
        </a:solidFill>
        <a:ln xmlns:a="http://schemas.openxmlformats.org/drawingml/2006/main" w="7620">
          <a:solidFill>
            <a:srgbClr val="C00000"/>
          </a:solidFill>
          <a:prstDash val="solid"/>
        </a:ln>
      </xdr:spPr>
    </xdr:sp>
    <xdr:clientData/>
  </xdr:oneCellAnchor>
  <xdr:oneCellAnchor>
    <xdr:from>
      <xdr:col>19</xdr:col>
      <xdr:colOff>0</xdr:colOff>
      <xdr:row>36</xdr:row>
      <xdr:rowOff>38100</xdr:rowOff>
    </xdr:from>
    <xdr:ext cx="1457325" cy="95250"/>
    <xdr:sp>
      <xdr:nvSpPr>
        <xdr:cNvPr id="31" name="shape_8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57325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548235"/>
        </a:solidFill>
        <a:ln xmlns:a="http://schemas.openxmlformats.org/drawingml/2006/main" w="7620">
          <a:solidFill>
            <a:srgbClr val="548235"/>
          </a:solidFill>
          <a:prstDash val="solid"/>
        </a:ln>
      </xdr:spPr>
    </xdr:sp>
    <xdr:clientData/>
  </xdr:oneCellAnchor>
  <xdr:oneCellAnchor>
    <xdr:from>
      <xdr:col>19</xdr:col>
      <xdr:colOff>0</xdr:colOff>
      <xdr:row>39</xdr:row>
      <xdr:rowOff>38100</xdr:rowOff>
    </xdr:from>
    <xdr:ext cx="1457325" cy="95250"/>
    <xdr:sp>
      <xdr:nvSpPr>
        <xdr:cNvPr id="32" name="shape_8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57325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548235"/>
        </a:solidFill>
        <a:ln xmlns:a="http://schemas.openxmlformats.org/drawingml/2006/main" w="7620">
          <a:solidFill>
            <a:srgbClr val="548235"/>
          </a:solidFill>
          <a:prstDash val="solid"/>
        </a:ln>
      </xdr:spPr>
    </xdr:sp>
    <xdr:clientData/>
  </xdr:oneCellAnchor>
  <xdr:oneCellAnchor>
    <xdr:from>
      <xdr:col>19</xdr:col>
      <xdr:colOff>0</xdr:colOff>
      <xdr:row>42</xdr:row>
      <xdr:rowOff>38100</xdr:rowOff>
    </xdr:from>
    <xdr:ext cx="1457325" cy="95250"/>
    <xdr:sp>
      <xdr:nvSpPr>
        <xdr:cNvPr id="33" name="shape_8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57325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548235"/>
        </a:solidFill>
        <a:ln xmlns:a="http://schemas.openxmlformats.org/drawingml/2006/main" w="7620">
          <a:solidFill>
            <a:srgbClr val="548235"/>
          </a:solidFill>
          <a:prstDash val="solid"/>
        </a:ln>
      </xdr:spPr>
    </xdr:sp>
    <xdr:clientData/>
  </xdr:oneCellAnchor>
  <xdr:oneCellAnchor>
    <xdr:from>
      <xdr:col>19</xdr:col>
      <xdr:colOff>0</xdr:colOff>
      <xdr:row>45</xdr:row>
      <xdr:rowOff>38100</xdr:rowOff>
    </xdr:from>
    <xdr:ext cx="1457325" cy="95250"/>
    <xdr:sp>
      <xdr:nvSpPr>
        <xdr:cNvPr id="34" name="shape_8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57325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548235"/>
        </a:solidFill>
        <a:ln xmlns:a="http://schemas.openxmlformats.org/drawingml/2006/main" w="7620">
          <a:solidFill>
            <a:srgbClr val="548235"/>
          </a:solidFill>
          <a:prstDash val="solid"/>
        </a:ln>
      </xdr:spPr>
    </xdr:sp>
    <xdr:clientData/>
  </xdr:oneCellAnchor>
  <xdr:oneCellAnchor>
    <xdr:from>
      <xdr:col>19</xdr:col>
      <xdr:colOff>0</xdr:colOff>
      <xdr:row>48</xdr:row>
      <xdr:rowOff>85725</xdr:rowOff>
    </xdr:from>
    <xdr:ext cx="1457325" cy="9525"/>
    <xdr:sp>
      <xdr:nvSpPr>
        <xdr:cNvPr id="35" name="shape_8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57325" cy="9525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666666"/>
          </a:solidFill>
          <a:prstDash val="dash"/>
        </a:ln>
      </xdr:spPr>
    </xdr:sp>
    <xdr:clientData/>
  </xdr:oneCellAnchor>
  <xdr:oneCellAnchor>
    <xdr:from>
      <xdr:col>19</xdr:col>
      <xdr:colOff>0</xdr:colOff>
      <xdr:row>48</xdr:row>
      <xdr:rowOff>42863</xdr:rowOff>
    </xdr:from>
    <xdr:ext cx="171450" cy="85725"/>
    <xdr:sp>
      <xdr:nvSpPr>
        <xdr:cNvPr id="36" name="shape_8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" cy="85725"/>
        </a:xfrm>
        <a:prstGeom xmlns:a="http://schemas.openxmlformats.org/drawingml/2006/main" prst="leftArrow">
          <a:avLst/>
        </a:prstGeom>
        <a:solidFill xmlns:a="http://schemas.openxmlformats.org/drawingml/2006/main">
          <a:srgbClr val="666666"/>
        </a:solidFill>
        <a:ln xmlns:a="http://schemas.openxmlformats.org/drawingml/2006/main" w="7620">
          <a:solidFill>
            <a:srgbClr val="666666"/>
          </a:solidFill>
          <a:prstDash val="solid"/>
        </a:ln>
      </xdr:spPr>
    </xdr:sp>
    <xdr:clientData/>
  </xdr:oneCellAnchor>
  <xdr:oneCellAnchor>
    <xdr:from>
      <xdr:col>11</xdr:col>
      <xdr:colOff>0</xdr:colOff>
      <xdr:row>51</xdr:row>
      <xdr:rowOff>85725</xdr:rowOff>
    </xdr:from>
    <xdr:ext cx="1371600" cy="9525"/>
    <xdr:sp>
      <xdr:nvSpPr>
        <xdr:cNvPr id="37" name="shape_8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9525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666666"/>
          </a:solidFill>
          <a:prstDash val="dash"/>
        </a:ln>
      </xdr:spPr>
    </xdr:sp>
    <xdr:clientData/>
  </xdr:oneCellAnchor>
  <xdr:oneCellAnchor>
    <xdr:from>
      <xdr:col>11</xdr:col>
      <xdr:colOff>0</xdr:colOff>
      <xdr:row>51</xdr:row>
      <xdr:rowOff>42863</xdr:rowOff>
    </xdr:from>
    <xdr:ext cx="171450" cy="85725"/>
    <xdr:sp>
      <xdr:nvSpPr>
        <xdr:cNvPr id="38" name="shape_8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" cy="85725"/>
        </a:xfrm>
        <a:prstGeom xmlns:a="http://schemas.openxmlformats.org/drawingml/2006/main" prst="leftArrow">
          <a:avLst/>
        </a:prstGeom>
        <a:solidFill xmlns:a="http://schemas.openxmlformats.org/drawingml/2006/main">
          <a:srgbClr val="666666"/>
        </a:solidFill>
        <a:ln xmlns:a="http://schemas.openxmlformats.org/drawingml/2006/main" w="7620">
          <a:solidFill>
            <a:srgbClr val="666666"/>
          </a:solidFill>
          <a:prstDash val="solid"/>
        </a:ln>
      </xdr:spPr>
    </xdr:sp>
    <xdr:clientData/>
  </xdr:oneCellAnchor>
  <xdr:oneCellAnchor>
    <xdr:from>
      <xdr:col>4</xdr:col>
      <xdr:colOff>0</xdr:colOff>
      <xdr:row>54</xdr:row>
      <xdr:rowOff>85725</xdr:rowOff>
    </xdr:from>
    <xdr:ext cx="1200150" cy="9525"/>
    <xdr:sp>
      <xdr:nvSpPr>
        <xdr:cNvPr id="39" name="shape_8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666666"/>
          </a:solidFill>
          <a:prstDash val="dash"/>
        </a:ln>
      </xdr:spPr>
    </xdr:sp>
    <xdr:clientData/>
  </xdr:oneCellAnchor>
  <xdr:oneCellAnchor>
    <xdr:from>
      <xdr:col>4</xdr:col>
      <xdr:colOff>0</xdr:colOff>
      <xdr:row>54</xdr:row>
      <xdr:rowOff>42863</xdr:rowOff>
    </xdr:from>
    <xdr:ext cx="171450" cy="85725"/>
    <xdr:sp>
      <xdr:nvSpPr>
        <xdr:cNvPr id="40" name="shape_9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" cy="85725"/>
        </a:xfrm>
        <a:prstGeom xmlns:a="http://schemas.openxmlformats.org/drawingml/2006/main" prst="leftArrow">
          <a:avLst/>
        </a:prstGeom>
        <a:solidFill xmlns:a="http://schemas.openxmlformats.org/drawingml/2006/main">
          <a:srgbClr val="666666"/>
        </a:solidFill>
        <a:ln xmlns:a="http://schemas.openxmlformats.org/drawingml/2006/main" w="7620">
          <a:solidFill>
            <a:srgbClr val="666666"/>
          </a:solidFill>
          <a:prstDash val="solid"/>
        </a:ln>
      </xdr:spPr>
    </xdr:sp>
    <xdr:clientData/>
  </xdr:oneCellAnchor>
  <xdr:oneCellAnchor>
    <xdr:from>
      <xdr:col>27</xdr:col>
      <xdr:colOff>85725</xdr:colOff>
      <xdr:row>58</xdr:row>
      <xdr:rowOff>38100</xdr:rowOff>
    </xdr:from>
    <xdr:ext cx="1371600" cy="95250"/>
    <xdr:sp>
      <xdr:nvSpPr>
        <xdr:cNvPr id="41" name="shape_9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95250"/>
        </a:xfrm>
        <a:prstGeom xmlns:a="http://schemas.openxmlformats.org/drawingml/2006/main" prst="leftArrow">
          <a:avLst/>
        </a:prstGeom>
        <a:solidFill xmlns:a="http://schemas.openxmlformats.org/drawingml/2006/main">
          <a:srgbClr val="4472C4"/>
        </a:solidFill>
        <a:ln xmlns:a="http://schemas.openxmlformats.org/drawingml/2006/main" w="7620">
          <a:solidFill>
            <a:srgbClr val="4472C4"/>
          </a:solidFill>
          <a:prstDash val="solid"/>
        </a:ln>
      </xdr:spPr>
    </xdr:sp>
    <xdr:clientData/>
  </xdr:oneCellAnchor>
  <xdr:oneCellAnchor>
    <xdr:from>
      <xdr:col>27</xdr:col>
      <xdr:colOff>85725</xdr:colOff>
      <xdr:row>62</xdr:row>
      <xdr:rowOff>85725</xdr:rowOff>
    </xdr:from>
    <xdr:ext cx="1371600" cy="9525"/>
    <xdr:sp>
      <xdr:nvSpPr>
        <xdr:cNvPr id="42" name="shape_9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9525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666666"/>
          </a:solidFill>
          <a:prstDash val="dash"/>
        </a:ln>
      </xdr:spPr>
    </xdr:sp>
    <xdr:clientData/>
  </xdr:oneCellAnchor>
  <xdr:oneCellAnchor>
    <xdr:from>
      <xdr:col>34</xdr:col>
      <xdr:colOff>85725</xdr:colOff>
      <xdr:row>62</xdr:row>
      <xdr:rowOff>42863</xdr:rowOff>
    </xdr:from>
    <xdr:ext cx="171450" cy="85725"/>
    <xdr:sp>
      <xdr:nvSpPr>
        <xdr:cNvPr id="43" name="shape_9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" cy="85725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666666"/>
        </a:solidFill>
        <a:ln xmlns:a="http://schemas.openxmlformats.org/drawingml/2006/main" w="7620">
          <a:solidFill>
            <a:srgbClr val="666666"/>
          </a:solidFill>
          <a:prstDash val="solid"/>
        </a:ln>
      </xdr:spPr>
    </xdr:sp>
    <xdr:clientData/>
  </xdr:oneCellAnchor>
  <xdr:oneCellAnchor>
    <xdr:from>
      <xdr:col>35</xdr:col>
      <xdr:colOff>85725</xdr:colOff>
      <xdr:row>66</xdr:row>
      <xdr:rowOff>38100</xdr:rowOff>
    </xdr:from>
    <xdr:ext cx="1371600" cy="95250"/>
    <xdr:sp>
      <xdr:nvSpPr>
        <xdr:cNvPr id="44" name="shape_9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7030A0"/>
        </a:solidFill>
        <a:ln xmlns:a="http://schemas.openxmlformats.org/drawingml/2006/main" w="7620">
          <a:solidFill>
            <a:srgbClr val="7030A0"/>
          </a:solidFill>
          <a:prstDash val="solid"/>
        </a:ln>
      </xdr:spPr>
    </xdr:sp>
    <xdr:clientData/>
  </xdr:oneCellAnchor>
  <xdr:oneCellAnchor>
    <xdr:from>
      <xdr:col>35</xdr:col>
      <xdr:colOff>85725</xdr:colOff>
      <xdr:row>69</xdr:row>
      <xdr:rowOff>85725</xdr:rowOff>
    </xdr:from>
    <xdr:ext cx="1371600" cy="9525"/>
    <xdr:sp>
      <xdr:nvSpPr>
        <xdr:cNvPr id="45" name="shape_9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9525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666666"/>
          </a:solidFill>
          <a:prstDash val="dash"/>
        </a:ln>
      </xdr:spPr>
    </xdr:sp>
    <xdr:clientData/>
  </xdr:oneCellAnchor>
  <xdr:oneCellAnchor>
    <xdr:from>
      <xdr:col>35</xdr:col>
      <xdr:colOff>85725</xdr:colOff>
      <xdr:row>69</xdr:row>
      <xdr:rowOff>42863</xdr:rowOff>
    </xdr:from>
    <xdr:ext cx="171450" cy="85725"/>
    <xdr:sp>
      <xdr:nvSpPr>
        <xdr:cNvPr id="46" name="shape_9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" cy="85725"/>
        </a:xfrm>
        <a:prstGeom xmlns:a="http://schemas.openxmlformats.org/drawingml/2006/main" prst="leftArrow">
          <a:avLst/>
        </a:prstGeom>
        <a:solidFill xmlns:a="http://schemas.openxmlformats.org/drawingml/2006/main">
          <a:srgbClr val="666666"/>
        </a:solidFill>
        <a:ln xmlns:a="http://schemas.openxmlformats.org/drawingml/2006/main" w="7620">
          <a:solidFill>
            <a:srgbClr val="666666"/>
          </a:solidFill>
          <a:prstDash val="solid"/>
        </a:ln>
      </xdr:spPr>
    </xdr:sp>
    <xdr:clientData/>
  </xdr:oneCellAnchor>
  <xdr:oneCellAnchor>
    <xdr:from>
      <xdr:col>43</xdr:col>
      <xdr:colOff>85725</xdr:colOff>
      <xdr:row>73</xdr:row>
      <xdr:rowOff>38100</xdr:rowOff>
    </xdr:from>
    <xdr:ext cx="1628775" cy="95250"/>
    <xdr:sp>
      <xdr:nvSpPr>
        <xdr:cNvPr id="47" name="shape_9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628775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7030A0"/>
        </a:solidFill>
        <a:ln xmlns:a="http://schemas.openxmlformats.org/drawingml/2006/main" w="7620">
          <a:solidFill>
            <a:srgbClr val="7030A0"/>
          </a:solidFill>
          <a:prstDash val="solid"/>
        </a:ln>
      </xdr:spPr>
    </xdr:sp>
    <xdr:clientData/>
  </xdr:oneCellAnchor>
  <xdr:oneCellAnchor>
    <xdr:from>
      <xdr:col>39</xdr:col>
      <xdr:colOff>0</xdr:colOff>
      <xdr:row>76</xdr:row>
      <xdr:rowOff>0</xdr:rowOff>
    </xdr:from>
    <xdr:ext cx="3257550" cy="2057400"/>
    <xdr:sp>
      <xdr:nvSpPr>
        <xdr:cNvPr id="48" name="shape_9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257550" cy="2057400"/>
        </a:xfrm>
        <a:prstGeom xmlns:a="http://schemas.openxmlformats.org/drawingml/2006/main" prst="rect">
          <a:avLst/>
        </a:prstGeom>
        <a:ln xmlns:a="http://schemas.openxmlformats.org/drawingml/2006/main" w="9525">
          <a:solidFill>
            <a:srgbClr val="666666"/>
          </a:solidFill>
          <a:prstDash val="solid"/>
        </a:ln>
      </xdr:spPr>
    </xdr:sp>
    <xdr:clientData/>
  </xdr:oneCellAnchor>
  <xdr:oneCellAnchor>
    <xdr:from>
      <xdr:col>39</xdr:col>
      <xdr:colOff>0</xdr:colOff>
      <xdr:row>81</xdr:row>
      <xdr:rowOff>85725</xdr:rowOff>
    </xdr:from>
    <xdr:ext cx="3257550" cy="9525"/>
    <xdr:sp>
      <xdr:nvSpPr>
        <xdr:cNvPr id="49" name="shape_9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257550" cy="9525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666666"/>
          </a:solidFill>
          <a:prstDash val="dash"/>
        </a:ln>
      </xdr:spPr>
    </xdr:sp>
    <xdr:clientData/>
  </xdr:oneCellAnchor>
  <xdr:oneCellAnchor>
    <xdr:from>
      <xdr:col>27</xdr:col>
      <xdr:colOff>85725</xdr:colOff>
      <xdr:row>89</xdr:row>
      <xdr:rowOff>38100</xdr:rowOff>
    </xdr:from>
    <xdr:ext cx="4371975" cy="95250"/>
    <xdr:sp>
      <xdr:nvSpPr>
        <xdr:cNvPr id="50" name="shape_10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371975" cy="95250"/>
        </a:xfrm>
        <a:prstGeom xmlns:a="http://schemas.openxmlformats.org/drawingml/2006/main" prst="leftArrow">
          <a:avLst/>
        </a:prstGeom>
        <a:solidFill xmlns:a="http://schemas.openxmlformats.org/drawingml/2006/main">
          <a:srgbClr val="C55A11"/>
        </a:solidFill>
        <a:ln xmlns:a="http://schemas.openxmlformats.org/drawingml/2006/main" w="7620">
          <a:solidFill>
            <a:srgbClr val="C55A11"/>
          </a:solidFill>
          <a:prstDash val="solid"/>
        </a:ln>
      </xdr:spPr>
    </xdr:sp>
    <xdr:clientData/>
  </xdr:oneCellAnchor>
  <xdr:oneCellAnchor>
    <xdr:from>
      <xdr:col>27</xdr:col>
      <xdr:colOff>85725</xdr:colOff>
      <xdr:row>93</xdr:row>
      <xdr:rowOff>85725</xdr:rowOff>
    </xdr:from>
    <xdr:ext cx="4371975" cy="9525"/>
    <xdr:sp>
      <xdr:nvSpPr>
        <xdr:cNvPr id="51" name="shape_10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371975" cy="9525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666666"/>
          </a:solidFill>
          <a:prstDash val="dash"/>
        </a:ln>
      </xdr:spPr>
    </xdr:sp>
    <xdr:clientData/>
  </xdr:oneCellAnchor>
  <xdr:oneCellAnchor>
    <xdr:from>
      <xdr:col>52</xdr:col>
      <xdr:colOff>0</xdr:colOff>
      <xdr:row>93</xdr:row>
      <xdr:rowOff>42863</xdr:rowOff>
    </xdr:from>
    <xdr:ext cx="171450" cy="85725"/>
    <xdr:sp>
      <xdr:nvSpPr>
        <xdr:cNvPr id="52" name="shape_10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" cy="85725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666666"/>
        </a:solidFill>
        <a:ln xmlns:a="http://schemas.openxmlformats.org/drawingml/2006/main" w="7620">
          <a:solidFill>
            <a:srgbClr val="666666"/>
          </a:solidFill>
          <a:prstDash val="solid"/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4</xdr:col>
      <xdr:colOff>0</xdr:colOff>
      <xdr:row>11</xdr:row>
      <xdr:rowOff>0</xdr:rowOff>
    </xdr:from>
    <xdr:ext cx="1028700" cy="685800"/>
    <xdr:sp>
      <xdr:nvSpPr>
        <xdr:cNvPr id="1" name="shape_10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28700" cy="685800"/>
        </a:xfrm>
        <a:prstGeom xmlns:a="http://schemas.openxmlformats.org/drawingml/2006/main" prst="roundRect">
          <a:avLst/>
        </a:prstGeom>
        <a:ln xmlns:a="http://schemas.openxmlformats.org/drawingml/2006/main" w="14288">
          <a:solidFill>
            <a:srgbClr val="548235"/>
          </a:solidFill>
          <a:prstDash val="solid"/>
        </a:ln>
      </xdr:spPr>
    </xdr:sp>
    <xdr:clientData/>
  </xdr:oneCellAnchor>
  <xdr:oneCellAnchor>
    <xdr:from>
      <xdr:col>6</xdr:col>
      <xdr:colOff>123825</xdr:colOff>
      <xdr:row>15</xdr:row>
      <xdr:rowOff>0</xdr:rowOff>
    </xdr:from>
    <xdr:ext cx="95250" cy="514350"/>
    <xdr:sp>
      <xdr:nvSpPr>
        <xdr:cNvPr id="2" name="shape_10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" cy="514350"/>
        </a:xfrm>
        <a:prstGeom xmlns:a="http://schemas.openxmlformats.org/drawingml/2006/main" prst="downArrow">
          <a:avLst/>
        </a:prstGeom>
        <a:solidFill xmlns:a="http://schemas.openxmlformats.org/drawingml/2006/main">
          <a:srgbClr val="548235"/>
        </a:solidFill>
        <a:ln xmlns:a="http://schemas.openxmlformats.org/drawingml/2006/main" w="7620">
          <a:solidFill>
            <a:srgbClr val="548235"/>
          </a:solidFill>
          <a:prstDash val="solid"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371600" cy="857250"/>
    <xdr:sp>
      <xdr:nvSpPr>
        <xdr:cNvPr id="3" name="shape_1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parallelogram">
          <a:avLst/>
        </a:prstGeom>
        <a:ln xmlns:a="http://schemas.openxmlformats.org/drawingml/2006/main" w="14288">
          <a:solidFill>
            <a:srgbClr val="548235"/>
          </a:solidFill>
          <a:prstDash val="solid"/>
        </a:ln>
      </xdr:spPr>
    </xdr:sp>
    <xdr:clientData/>
  </xdr:oneCellAnchor>
  <xdr:oneCellAnchor>
    <xdr:from>
      <xdr:col>11</xdr:col>
      <xdr:colOff>0</xdr:colOff>
      <xdr:row>20</xdr:row>
      <xdr:rowOff>38100</xdr:rowOff>
    </xdr:from>
    <xdr:ext cx="1028700" cy="95250"/>
    <xdr:sp>
      <xdr:nvSpPr>
        <xdr:cNvPr id="4" name="shape_10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28700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4472C4"/>
        </a:solidFill>
        <a:ln xmlns:a="http://schemas.openxmlformats.org/drawingml/2006/main" w="7620">
          <a:solidFill>
            <a:srgbClr val="4472C4"/>
          </a:solidFill>
          <a:prstDash val="solid"/>
        </a:ln>
      </xdr:spPr>
    </xdr:sp>
    <xdr:clientData/>
  </xdr:oneCellAnchor>
  <xdr:oneCellAnchor>
    <xdr:from>
      <xdr:col>17</xdr:col>
      <xdr:colOff>0</xdr:colOff>
      <xdr:row>18</xdr:row>
      <xdr:rowOff>0</xdr:rowOff>
    </xdr:from>
    <xdr:ext cx="1371600" cy="857250"/>
    <xdr:sp>
      <xdr:nvSpPr>
        <xdr:cNvPr id="5" name="shape_10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2F75B5"/>
          </a:solidFill>
          <a:prstDash val="solid"/>
        </a:ln>
      </xdr:spPr>
    </xdr:sp>
    <xdr:clientData/>
  </xdr:oneCellAnchor>
  <xdr:oneCellAnchor>
    <xdr:from>
      <xdr:col>20</xdr:col>
      <xdr:colOff>123825</xdr:colOff>
      <xdr:row>23</xdr:row>
      <xdr:rowOff>0</xdr:rowOff>
    </xdr:from>
    <xdr:ext cx="95250" cy="685800"/>
    <xdr:sp>
      <xdr:nvSpPr>
        <xdr:cNvPr id="6" name="shape_10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" cy="685800"/>
        </a:xfrm>
        <a:prstGeom xmlns:a="http://schemas.openxmlformats.org/drawingml/2006/main" prst="downArrow">
          <a:avLst/>
        </a:prstGeom>
        <a:solidFill xmlns:a="http://schemas.openxmlformats.org/drawingml/2006/main">
          <a:srgbClr val="2F75B5"/>
        </a:solidFill>
        <a:ln xmlns:a="http://schemas.openxmlformats.org/drawingml/2006/main" w="7620">
          <a:solidFill>
            <a:srgbClr val="2F75B5"/>
          </a:solidFill>
          <a:prstDash val="solid"/>
        </a:ln>
      </xdr:spPr>
    </xdr:sp>
    <xdr:clientData/>
  </xdr:oneCellAnchor>
  <xdr:oneCellAnchor>
    <xdr:from>
      <xdr:col>17</xdr:col>
      <xdr:colOff>0</xdr:colOff>
      <xdr:row>27</xdr:row>
      <xdr:rowOff>0</xdr:rowOff>
    </xdr:from>
    <xdr:ext cx="1371600" cy="1200150"/>
    <xdr:sp>
      <xdr:nvSpPr>
        <xdr:cNvPr id="7" name="shape_10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1200150"/>
        </a:xfrm>
        <a:prstGeom xmlns:a="http://schemas.openxmlformats.org/drawingml/2006/main" prst="diamond">
          <a:avLst/>
        </a:prstGeom>
        <a:ln xmlns:a="http://schemas.openxmlformats.org/drawingml/2006/main" w="14288">
          <a:solidFill>
            <a:srgbClr val="2F75B5"/>
          </a:solidFill>
          <a:prstDash val="solid"/>
        </a:ln>
      </xdr:spPr>
    </xdr:sp>
    <xdr:clientData/>
  </xdr:oneCellAnchor>
  <xdr:oneCellAnchor>
    <xdr:from>
      <xdr:col>11</xdr:col>
      <xdr:colOff>0</xdr:colOff>
      <xdr:row>30</xdr:row>
      <xdr:rowOff>38100</xdr:rowOff>
    </xdr:from>
    <xdr:ext cx="1028700" cy="95250"/>
    <xdr:sp>
      <xdr:nvSpPr>
        <xdr:cNvPr id="8" name="shape_1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28700" cy="95250"/>
        </a:xfrm>
        <a:prstGeom xmlns:a="http://schemas.openxmlformats.org/drawingml/2006/main" prst="leftArrow">
          <a:avLst/>
        </a:prstGeom>
        <a:solidFill xmlns:a="http://schemas.openxmlformats.org/drawingml/2006/main">
          <a:srgbClr val="C00000"/>
        </a:solidFill>
        <a:ln xmlns:a="http://schemas.openxmlformats.org/drawingml/2006/main" w="7620">
          <a:solidFill>
            <a:srgbClr val="C00000"/>
          </a:solidFill>
          <a:prstDash val="solid"/>
        </a:ln>
      </xdr:spPr>
    </xdr:sp>
    <xdr:clientData/>
  </xdr:oneCellAnchor>
  <xdr:oneCellAnchor>
    <xdr:from>
      <xdr:col>20</xdr:col>
      <xdr:colOff>123825</xdr:colOff>
      <xdr:row>34</xdr:row>
      <xdr:rowOff>0</xdr:rowOff>
    </xdr:from>
    <xdr:ext cx="95250" cy="685800"/>
    <xdr:sp>
      <xdr:nvSpPr>
        <xdr:cNvPr id="9" name="shape_1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" cy="685800"/>
        </a:xfrm>
        <a:prstGeom xmlns:a="http://schemas.openxmlformats.org/drawingml/2006/main" prst="downArrow">
          <a:avLst/>
        </a:prstGeom>
        <a:solidFill xmlns:a="http://schemas.openxmlformats.org/drawingml/2006/main">
          <a:srgbClr val="548235"/>
        </a:solidFill>
        <a:ln xmlns:a="http://schemas.openxmlformats.org/drawingml/2006/main" w="7620">
          <a:solidFill>
            <a:srgbClr val="548235"/>
          </a:solidFill>
          <a:prstDash val="solid"/>
        </a:ln>
      </xdr:spPr>
    </xdr:sp>
    <xdr:clientData/>
  </xdr:oneCellAnchor>
  <xdr:oneCellAnchor>
    <xdr:from>
      <xdr:col>17</xdr:col>
      <xdr:colOff>0</xdr:colOff>
      <xdr:row>38</xdr:row>
      <xdr:rowOff>0</xdr:rowOff>
    </xdr:from>
    <xdr:ext cx="1371600" cy="1028700"/>
    <xdr:sp>
      <xdr:nvSpPr>
        <xdr:cNvPr id="10" name="shape_1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1028700"/>
        </a:xfrm>
        <a:prstGeom xmlns:a="http://schemas.openxmlformats.org/drawingml/2006/main" prst="can">
          <a:avLst/>
        </a:prstGeom>
        <a:ln xmlns:a="http://schemas.openxmlformats.org/drawingml/2006/main" w="14288">
          <a:solidFill>
            <a:srgbClr val="548235"/>
          </a:solidFill>
          <a:prstDash val="solid"/>
        </a:ln>
      </xdr:spPr>
    </xdr:sp>
    <xdr:clientData/>
  </xdr:oneCellAnchor>
  <xdr:oneCellAnchor>
    <xdr:from>
      <xdr:col>20</xdr:col>
      <xdr:colOff>123825</xdr:colOff>
      <xdr:row>44</xdr:row>
      <xdr:rowOff>0</xdr:rowOff>
    </xdr:from>
    <xdr:ext cx="95250" cy="685800"/>
    <xdr:sp>
      <xdr:nvSpPr>
        <xdr:cNvPr id="11" name="shape_1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" cy="685800"/>
        </a:xfrm>
        <a:prstGeom xmlns:a="http://schemas.openxmlformats.org/drawingml/2006/main" prst="downArrow">
          <a:avLst/>
        </a:prstGeom>
        <a:solidFill xmlns:a="http://schemas.openxmlformats.org/drawingml/2006/main">
          <a:srgbClr val="2F75B5"/>
        </a:solidFill>
        <a:ln xmlns:a="http://schemas.openxmlformats.org/drawingml/2006/main" w="7620">
          <a:solidFill>
            <a:srgbClr val="2F75B5"/>
          </a:solidFill>
          <a:prstDash val="solid"/>
        </a:ln>
      </xdr:spPr>
    </xdr:sp>
    <xdr:clientData/>
  </xdr:oneCellAnchor>
  <xdr:oneCellAnchor>
    <xdr:from>
      <xdr:col>16</xdr:col>
      <xdr:colOff>0</xdr:colOff>
      <xdr:row>48</xdr:row>
      <xdr:rowOff>0</xdr:rowOff>
    </xdr:from>
    <xdr:ext cx="1714500" cy="857250"/>
    <xdr:sp>
      <xdr:nvSpPr>
        <xdr:cNvPr id="12" name="shape_1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0" cy="85725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C55A11"/>
          </a:solidFill>
          <a:prstDash val="solid"/>
        </a:ln>
      </xdr:spPr>
    </xdr:sp>
    <xdr:clientData/>
  </xdr:oneCellAnchor>
  <xdr:oneCellAnchor>
    <xdr:from>
      <xdr:col>26</xdr:col>
      <xdr:colOff>0</xdr:colOff>
      <xdr:row>50</xdr:row>
      <xdr:rowOff>38100</xdr:rowOff>
    </xdr:from>
    <xdr:ext cx="857250" cy="95250"/>
    <xdr:sp>
      <xdr:nvSpPr>
        <xdr:cNvPr id="13" name="shape_1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57250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C55A11"/>
        </a:solidFill>
        <a:ln xmlns:a="http://schemas.openxmlformats.org/drawingml/2006/main" w="7620">
          <a:solidFill>
            <a:srgbClr val="C55A11"/>
          </a:solidFill>
          <a:prstDash val="solid"/>
        </a:ln>
      </xdr:spPr>
    </xdr:sp>
    <xdr:clientData/>
  </xdr:oneCellAnchor>
  <xdr:oneCellAnchor>
    <xdr:from>
      <xdr:col>31</xdr:col>
      <xdr:colOff>0</xdr:colOff>
      <xdr:row>48</xdr:row>
      <xdr:rowOff>0</xdr:rowOff>
    </xdr:from>
    <xdr:ext cx="1028700" cy="857250"/>
    <xdr:sp>
      <xdr:nvSpPr>
        <xdr:cNvPr id="14" name="shape_1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28700" cy="85725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C55A11"/>
          </a:solidFill>
          <a:prstDash val="solid"/>
        </a:ln>
      </xdr:spPr>
    </xdr:sp>
    <xdr:clientData/>
  </xdr:oneCellAnchor>
  <xdr:oneCellAnchor>
    <xdr:from>
      <xdr:col>33</xdr:col>
      <xdr:colOff>123825</xdr:colOff>
      <xdr:row>53</xdr:row>
      <xdr:rowOff>0</xdr:rowOff>
    </xdr:from>
    <xdr:ext cx="95250" cy="685800"/>
    <xdr:sp>
      <xdr:nvSpPr>
        <xdr:cNvPr id="15" name="shape_1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" cy="685800"/>
        </a:xfrm>
        <a:prstGeom xmlns:a="http://schemas.openxmlformats.org/drawingml/2006/main" prst="downArrow">
          <a:avLst/>
        </a:prstGeom>
        <a:solidFill xmlns:a="http://schemas.openxmlformats.org/drawingml/2006/main">
          <a:srgbClr val="C55A11"/>
        </a:solidFill>
        <a:ln xmlns:a="http://schemas.openxmlformats.org/drawingml/2006/main" w="7620">
          <a:solidFill>
            <a:srgbClr val="C55A11"/>
          </a:solidFill>
          <a:prstDash val="solid"/>
        </a:ln>
      </xdr:spPr>
    </xdr:sp>
    <xdr:clientData/>
  </xdr:oneCellAnchor>
  <xdr:oneCellAnchor>
    <xdr:from>
      <xdr:col>30</xdr:col>
      <xdr:colOff>0</xdr:colOff>
      <xdr:row>57</xdr:row>
      <xdr:rowOff>0</xdr:rowOff>
    </xdr:from>
    <xdr:ext cx="1371600" cy="1200150"/>
    <xdr:sp>
      <xdr:nvSpPr>
        <xdr:cNvPr id="16" name="shape_1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1200150"/>
        </a:xfrm>
        <a:prstGeom xmlns:a="http://schemas.openxmlformats.org/drawingml/2006/main" prst="diamond">
          <a:avLst/>
        </a:prstGeom>
        <a:ln xmlns:a="http://schemas.openxmlformats.org/drawingml/2006/main" w="14288">
          <a:solidFill>
            <a:srgbClr val="C55A11"/>
          </a:solidFill>
          <a:prstDash val="solid"/>
        </a:ln>
      </xdr:spPr>
    </xdr:sp>
    <xdr:clientData/>
  </xdr:oneCellAnchor>
  <xdr:oneCellAnchor>
    <xdr:from>
      <xdr:col>23</xdr:col>
      <xdr:colOff>0</xdr:colOff>
      <xdr:row>60</xdr:row>
      <xdr:rowOff>38100</xdr:rowOff>
    </xdr:from>
    <xdr:ext cx="1200150" cy="95250"/>
    <xdr:sp>
      <xdr:nvSpPr>
        <xdr:cNvPr id="17" name="shape_1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0"/>
        </a:xfrm>
        <a:prstGeom xmlns:a="http://schemas.openxmlformats.org/drawingml/2006/main" prst="leftArrow">
          <a:avLst/>
        </a:prstGeom>
        <a:solidFill xmlns:a="http://schemas.openxmlformats.org/drawingml/2006/main">
          <a:srgbClr val="C00000"/>
        </a:solidFill>
        <a:ln xmlns:a="http://schemas.openxmlformats.org/drawingml/2006/main" w="7620">
          <a:solidFill>
            <a:srgbClr val="C00000"/>
          </a:solidFill>
          <a:prstDash val="solid"/>
        </a:ln>
      </xdr:spPr>
    </xdr:sp>
    <xdr:clientData/>
  </xdr:oneCellAnchor>
  <xdr:oneCellAnchor>
    <xdr:from>
      <xdr:col>15</xdr:col>
      <xdr:colOff>0</xdr:colOff>
      <xdr:row>58</xdr:row>
      <xdr:rowOff>0</xdr:rowOff>
    </xdr:from>
    <xdr:ext cx="1371600" cy="857250"/>
    <xdr:sp>
      <xdr:nvSpPr>
        <xdr:cNvPr id="18" name="shape_1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C00000"/>
          </a:solidFill>
          <a:prstDash val="solid"/>
        </a:ln>
      </xdr:spPr>
    </xdr:sp>
    <xdr:clientData/>
  </xdr:oneCellAnchor>
  <xdr:oneCellAnchor>
    <xdr:from>
      <xdr:col>7</xdr:col>
      <xdr:colOff>0</xdr:colOff>
      <xdr:row>60</xdr:row>
      <xdr:rowOff>85725</xdr:rowOff>
    </xdr:from>
    <xdr:ext cx="1371600" cy="9525"/>
    <xdr:sp>
      <xdr:nvSpPr>
        <xdr:cNvPr id="19" name="shape_1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9525"/>
        </a:xfrm>
        <a:prstGeom xmlns:a="http://schemas.openxmlformats.org/drawingml/2006/main" prst="line">
          <a:avLst/>
        </a:prstGeom>
        <a:ln xmlns:a="http://schemas.openxmlformats.org/drawingml/2006/main" w="11430">
          <a:solidFill>
            <a:srgbClr val="C00000"/>
          </a:solidFill>
          <a:prstDash val="dash"/>
        </a:ln>
      </xdr:spPr>
    </xdr:sp>
    <xdr:clientData/>
  </xdr:oneCellAnchor>
  <xdr:oneCellAnchor>
    <xdr:from>
      <xdr:col>7</xdr:col>
      <xdr:colOff>0</xdr:colOff>
      <xdr:row>24</xdr:row>
      <xdr:rowOff>0</xdr:rowOff>
    </xdr:from>
    <xdr:ext cx="9525" cy="6257925"/>
    <xdr:sp>
      <xdr:nvSpPr>
        <xdr:cNvPr id="20" name="shape_1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6257925"/>
        </a:xfrm>
        <a:prstGeom xmlns:a="http://schemas.openxmlformats.org/drawingml/2006/main" prst="line">
          <a:avLst/>
        </a:prstGeom>
        <a:ln xmlns:a="http://schemas.openxmlformats.org/drawingml/2006/main" w="11430">
          <a:solidFill>
            <a:srgbClr val="C00000"/>
          </a:solidFill>
          <a:prstDash val="dash"/>
        </a:ln>
      </xdr:spPr>
    </xdr:sp>
    <xdr:clientData/>
  </xdr:oneCellAnchor>
  <xdr:oneCellAnchor>
    <xdr:from>
      <xdr:col>6</xdr:col>
      <xdr:colOff>133350</xdr:colOff>
      <xdr:row>23</xdr:row>
      <xdr:rowOff>0</xdr:rowOff>
    </xdr:from>
    <xdr:ext cx="76200" cy="171450"/>
    <xdr:sp>
      <xdr:nvSpPr>
        <xdr:cNvPr id="21" name="shape_1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6200" cy="171450"/>
        </a:xfrm>
        <a:prstGeom xmlns:a="http://schemas.openxmlformats.org/drawingml/2006/main" prst="upArrow">
          <a:avLst/>
        </a:prstGeom>
        <a:solidFill xmlns:a="http://schemas.openxmlformats.org/drawingml/2006/main">
          <a:srgbClr val="C00000"/>
        </a:solidFill>
        <a:ln xmlns:a="http://schemas.openxmlformats.org/drawingml/2006/main" w="7620">
          <a:solidFill>
            <a:srgbClr val="C00000"/>
          </a:solidFill>
          <a:prstDash val="solid"/>
        </a:ln>
      </xdr:spPr>
    </xdr:sp>
    <xdr:clientData/>
  </xdr:oneCellAnchor>
  <xdr:oneCellAnchor>
    <xdr:from>
      <xdr:col>6</xdr:col>
      <xdr:colOff>142875</xdr:colOff>
      <xdr:row>60</xdr:row>
      <xdr:rowOff>57150</xdr:rowOff>
    </xdr:from>
    <xdr:ext cx="57150" cy="57150"/>
    <xdr:sp>
      <xdr:nvSpPr>
        <xdr:cNvPr id="22" name="shape_1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7150" cy="57150"/>
        </a:xfrm>
        <a:prstGeom xmlns:a="http://schemas.openxmlformats.org/drawingml/2006/main" prst="ellipse">
          <a:avLst/>
        </a:prstGeom>
        <a:solidFill xmlns:a="http://schemas.openxmlformats.org/drawingml/2006/main">
          <a:srgbClr val="C00000"/>
        </a:solidFill>
        <a:ln xmlns:a="http://schemas.openxmlformats.org/drawingml/2006/main" w="4763">
          <a:solidFill>
            <a:srgbClr val="C00000"/>
          </a:solidFill>
          <a:prstDash val="solid"/>
        </a:ln>
      </xdr:spPr>
    </xdr:sp>
    <xdr:clientData/>
  </xdr:oneCellAnchor>
  <xdr:oneCellAnchor>
    <xdr:from>
      <xdr:col>38</xdr:col>
      <xdr:colOff>0</xdr:colOff>
      <xdr:row>60</xdr:row>
      <xdr:rowOff>38100</xdr:rowOff>
    </xdr:from>
    <xdr:ext cx="857250" cy="95250"/>
    <xdr:sp>
      <xdr:nvSpPr>
        <xdr:cNvPr id="23" name="shape_1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57250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548235"/>
        </a:solidFill>
        <a:ln xmlns:a="http://schemas.openxmlformats.org/drawingml/2006/main" w="7620">
          <a:solidFill>
            <a:srgbClr val="548235"/>
          </a:solidFill>
          <a:prstDash val="solid"/>
        </a:ln>
      </xdr:spPr>
    </xdr:sp>
    <xdr:clientData/>
  </xdr:oneCellAnchor>
  <xdr:oneCellAnchor>
    <xdr:from>
      <xdr:col>43</xdr:col>
      <xdr:colOff>0</xdr:colOff>
      <xdr:row>58</xdr:row>
      <xdr:rowOff>0</xdr:rowOff>
    </xdr:from>
    <xdr:ext cx="1028700" cy="857250"/>
    <xdr:sp>
      <xdr:nvSpPr>
        <xdr:cNvPr id="24" name="shape_1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28700" cy="85725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7030A0"/>
          </a:solidFill>
          <a:prstDash val="solid"/>
        </a:ln>
      </xdr:spPr>
    </xdr:sp>
    <xdr:clientData/>
  </xdr:oneCellAnchor>
  <xdr:oneCellAnchor>
    <xdr:from>
      <xdr:col>45</xdr:col>
      <xdr:colOff>123825</xdr:colOff>
      <xdr:row>63</xdr:row>
      <xdr:rowOff>0</xdr:rowOff>
    </xdr:from>
    <xdr:ext cx="95250" cy="685800"/>
    <xdr:sp>
      <xdr:nvSpPr>
        <xdr:cNvPr id="25" name="shape_1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" cy="685800"/>
        </a:xfrm>
        <a:prstGeom xmlns:a="http://schemas.openxmlformats.org/drawingml/2006/main" prst="downArrow">
          <a:avLst/>
        </a:prstGeom>
        <a:solidFill xmlns:a="http://schemas.openxmlformats.org/drawingml/2006/main">
          <a:srgbClr val="7030A0"/>
        </a:solidFill>
        <a:ln xmlns:a="http://schemas.openxmlformats.org/drawingml/2006/main" w="7620">
          <a:solidFill>
            <a:srgbClr val="7030A0"/>
          </a:solidFill>
          <a:prstDash val="solid"/>
        </a:ln>
      </xdr:spPr>
    </xdr:sp>
    <xdr:clientData/>
  </xdr:oneCellAnchor>
  <xdr:oneCellAnchor>
    <xdr:from>
      <xdr:col>42</xdr:col>
      <xdr:colOff>0</xdr:colOff>
      <xdr:row>67</xdr:row>
      <xdr:rowOff>0</xdr:rowOff>
    </xdr:from>
    <xdr:ext cx="1371600" cy="1200150"/>
    <xdr:sp>
      <xdr:nvSpPr>
        <xdr:cNvPr id="26" name="shape_1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1200150"/>
        </a:xfrm>
        <a:prstGeom xmlns:a="http://schemas.openxmlformats.org/drawingml/2006/main" prst="diamond">
          <a:avLst/>
        </a:prstGeom>
        <a:ln xmlns:a="http://schemas.openxmlformats.org/drawingml/2006/main" w="14288">
          <a:solidFill>
            <a:srgbClr val="7030A0"/>
          </a:solidFill>
          <a:prstDash val="solid"/>
        </a:ln>
      </xdr:spPr>
    </xdr:sp>
    <xdr:clientData/>
  </xdr:oneCellAnchor>
  <xdr:oneCellAnchor>
    <xdr:from>
      <xdr:col>24</xdr:col>
      <xdr:colOff>0</xdr:colOff>
      <xdr:row>70</xdr:row>
      <xdr:rowOff>38100</xdr:rowOff>
    </xdr:from>
    <xdr:ext cx="3086100" cy="95250"/>
    <xdr:sp>
      <xdr:nvSpPr>
        <xdr:cNvPr id="27" name="shape_1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086100" cy="95250"/>
        </a:xfrm>
        <a:prstGeom xmlns:a="http://schemas.openxmlformats.org/drawingml/2006/main" prst="leftArrow">
          <a:avLst/>
        </a:prstGeom>
        <a:solidFill xmlns:a="http://schemas.openxmlformats.org/drawingml/2006/main">
          <a:srgbClr val="C00000"/>
        </a:solidFill>
        <a:ln xmlns:a="http://schemas.openxmlformats.org/drawingml/2006/main" w="7620">
          <a:solidFill>
            <a:srgbClr val="C00000"/>
          </a:solidFill>
          <a:prstDash val="solid"/>
        </a:ln>
      </xdr:spPr>
    </xdr:sp>
    <xdr:clientData/>
  </xdr:oneCellAnchor>
  <xdr:oneCellAnchor>
    <xdr:from>
      <xdr:col>16</xdr:col>
      <xdr:colOff>0</xdr:colOff>
      <xdr:row>68</xdr:row>
      <xdr:rowOff>0</xdr:rowOff>
    </xdr:from>
    <xdr:ext cx="1371600" cy="857250"/>
    <xdr:sp>
      <xdr:nvSpPr>
        <xdr:cNvPr id="28" name="shape_1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C00000"/>
          </a:solidFill>
          <a:prstDash val="solid"/>
        </a:ln>
      </xdr:spPr>
    </xdr:sp>
    <xdr:clientData/>
  </xdr:oneCellAnchor>
  <xdr:oneCellAnchor>
    <xdr:from>
      <xdr:col>15</xdr:col>
      <xdr:colOff>0</xdr:colOff>
      <xdr:row>70</xdr:row>
      <xdr:rowOff>38100</xdr:rowOff>
    </xdr:from>
    <xdr:ext cx="171450" cy="95250"/>
    <xdr:sp>
      <xdr:nvSpPr>
        <xdr:cNvPr id="29" name="shape_1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" cy="95250"/>
        </a:xfrm>
        <a:prstGeom xmlns:a="http://schemas.openxmlformats.org/drawingml/2006/main" prst="leftArrow">
          <a:avLst/>
        </a:prstGeom>
        <a:solidFill xmlns:a="http://schemas.openxmlformats.org/drawingml/2006/main">
          <a:srgbClr val="7030A0"/>
        </a:solidFill>
        <a:ln xmlns:a="http://schemas.openxmlformats.org/drawingml/2006/main" w="7620">
          <a:solidFill>
            <a:srgbClr val="7030A0"/>
          </a:solidFill>
          <a:prstDash val="solid"/>
        </a:ln>
      </xdr:spPr>
    </xdr:sp>
    <xdr:clientData/>
  </xdr:oneCellAnchor>
  <xdr:oneCellAnchor>
    <xdr:from>
      <xdr:col>11</xdr:col>
      <xdr:colOff>0</xdr:colOff>
      <xdr:row>69</xdr:row>
      <xdr:rowOff>0</xdr:rowOff>
    </xdr:from>
    <xdr:ext cx="685800" cy="514350"/>
    <xdr:sp>
      <xdr:nvSpPr>
        <xdr:cNvPr id="30" name="shape_1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85800" cy="514350"/>
        </a:xfrm>
        <a:prstGeom xmlns:a="http://schemas.openxmlformats.org/drawingml/2006/main" prst="ellipse">
          <a:avLst/>
        </a:prstGeom>
        <a:ln xmlns:a="http://schemas.openxmlformats.org/drawingml/2006/main" w="14288">
          <a:solidFill>
            <a:srgbClr val="7030A0"/>
          </a:solidFill>
          <a:prstDash val="solid"/>
        </a:ln>
      </xdr:spPr>
    </xdr:sp>
    <xdr:clientData/>
  </xdr:oneCellAnchor>
  <xdr:oneCellAnchor>
    <xdr:from>
      <xdr:col>44</xdr:col>
      <xdr:colOff>0</xdr:colOff>
      <xdr:row>54</xdr:row>
      <xdr:rowOff>0</xdr:rowOff>
    </xdr:from>
    <xdr:ext cx="685800" cy="514350"/>
    <xdr:sp>
      <xdr:nvSpPr>
        <xdr:cNvPr id="31" name="shape_1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85800" cy="514350"/>
        </a:xfrm>
        <a:prstGeom xmlns:a="http://schemas.openxmlformats.org/drawingml/2006/main" prst="ellipse">
          <a:avLst/>
        </a:prstGeom>
        <a:ln xmlns:a="http://schemas.openxmlformats.org/drawingml/2006/main" w="14288">
          <a:solidFill>
            <a:srgbClr val="7030A0"/>
          </a:solidFill>
          <a:prstDash val="solid"/>
        </a:ln>
      </xdr:spPr>
    </xdr:sp>
    <xdr:clientData/>
  </xdr:oneCellAnchor>
  <xdr:oneCellAnchor>
    <xdr:from>
      <xdr:col>45</xdr:col>
      <xdr:colOff>123825</xdr:colOff>
      <xdr:row>57</xdr:row>
      <xdr:rowOff>0</xdr:rowOff>
    </xdr:from>
    <xdr:ext cx="95250" cy="171450"/>
    <xdr:sp>
      <xdr:nvSpPr>
        <xdr:cNvPr id="32" name="shape_1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" cy="171450"/>
        </a:xfrm>
        <a:prstGeom xmlns:a="http://schemas.openxmlformats.org/drawingml/2006/main" prst="downArrow">
          <a:avLst/>
        </a:prstGeom>
        <a:solidFill xmlns:a="http://schemas.openxmlformats.org/drawingml/2006/main">
          <a:srgbClr val="7030A0"/>
        </a:solidFill>
        <a:ln xmlns:a="http://schemas.openxmlformats.org/drawingml/2006/main" w="7620">
          <a:solidFill>
            <a:srgbClr val="7030A0"/>
          </a:solidFill>
          <a:prstDash val="solid"/>
        </a:ln>
      </xdr:spPr>
    </xdr:sp>
    <xdr:clientData/>
  </xdr:oneCellAnchor>
  <xdr:oneCellAnchor>
    <xdr:from>
      <xdr:col>45</xdr:col>
      <xdr:colOff>123825</xdr:colOff>
      <xdr:row>74</xdr:row>
      <xdr:rowOff>0</xdr:rowOff>
    </xdr:from>
    <xdr:ext cx="95250" cy="514350"/>
    <xdr:sp>
      <xdr:nvSpPr>
        <xdr:cNvPr id="33" name="shape_1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" cy="514350"/>
        </a:xfrm>
        <a:prstGeom xmlns:a="http://schemas.openxmlformats.org/drawingml/2006/main" prst="downArrow">
          <a:avLst/>
        </a:prstGeom>
        <a:solidFill xmlns:a="http://schemas.openxmlformats.org/drawingml/2006/main">
          <a:srgbClr val="548235"/>
        </a:solidFill>
        <a:ln xmlns:a="http://schemas.openxmlformats.org/drawingml/2006/main" w="7620">
          <a:solidFill>
            <a:srgbClr val="548235"/>
          </a:solidFill>
          <a:prstDash val="solid"/>
        </a:ln>
      </xdr:spPr>
    </xdr:sp>
    <xdr:clientData/>
  </xdr:oneCellAnchor>
  <xdr:oneCellAnchor>
    <xdr:from>
      <xdr:col>42</xdr:col>
      <xdr:colOff>0</xdr:colOff>
      <xdr:row>77</xdr:row>
      <xdr:rowOff>0</xdr:rowOff>
    </xdr:from>
    <xdr:ext cx="1371600" cy="857250"/>
    <xdr:sp>
      <xdr:nvSpPr>
        <xdr:cNvPr id="34" name="shape_1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7030A0"/>
          </a:solidFill>
          <a:prstDash val="solid"/>
        </a:ln>
      </xdr:spPr>
    </xdr:sp>
    <xdr:clientData/>
  </xdr:oneCellAnchor>
  <xdr:oneCellAnchor>
    <xdr:from>
      <xdr:col>24</xdr:col>
      <xdr:colOff>0</xdr:colOff>
      <xdr:row>79</xdr:row>
      <xdr:rowOff>38100</xdr:rowOff>
    </xdr:from>
    <xdr:ext cx="3086100" cy="95250"/>
    <xdr:sp>
      <xdr:nvSpPr>
        <xdr:cNvPr id="35" name="shape_1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086100" cy="95250"/>
        </a:xfrm>
        <a:prstGeom xmlns:a="http://schemas.openxmlformats.org/drawingml/2006/main" prst="leftArrow">
          <a:avLst/>
        </a:prstGeom>
        <a:solidFill xmlns:a="http://schemas.openxmlformats.org/drawingml/2006/main">
          <a:srgbClr val="548235"/>
        </a:solidFill>
        <a:ln xmlns:a="http://schemas.openxmlformats.org/drawingml/2006/main" w="7620">
          <a:solidFill>
            <a:srgbClr val="548235"/>
          </a:solidFill>
          <a:prstDash val="solid"/>
        </a:ln>
      </xdr:spPr>
    </xdr:sp>
    <xdr:clientData/>
  </xdr:oneCellAnchor>
  <xdr:oneCellAnchor>
    <xdr:from>
      <xdr:col>16</xdr:col>
      <xdr:colOff>0</xdr:colOff>
      <xdr:row>77</xdr:row>
      <xdr:rowOff>0</xdr:rowOff>
    </xdr:from>
    <xdr:ext cx="1371600" cy="857250"/>
    <xdr:sp>
      <xdr:nvSpPr>
        <xdr:cNvPr id="36" name="shape_1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548235"/>
          </a:solidFill>
          <a:prstDash val="solid"/>
        </a:ln>
      </xdr:spPr>
    </xdr:sp>
    <xdr:clientData/>
  </xdr:oneCellAnchor>
  <xdr:oneCellAnchor>
    <xdr:from>
      <xdr:col>10</xdr:col>
      <xdr:colOff>0</xdr:colOff>
      <xdr:row>79</xdr:row>
      <xdr:rowOff>38100</xdr:rowOff>
    </xdr:from>
    <xdr:ext cx="1028700" cy="95250"/>
    <xdr:sp>
      <xdr:nvSpPr>
        <xdr:cNvPr id="37" name="shape_1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28700" cy="95250"/>
        </a:xfrm>
        <a:prstGeom xmlns:a="http://schemas.openxmlformats.org/drawingml/2006/main" prst="leftArrow">
          <a:avLst/>
        </a:prstGeom>
        <a:solidFill xmlns:a="http://schemas.openxmlformats.org/drawingml/2006/main">
          <a:srgbClr val="548235"/>
        </a:solidFill>
        <a:ln xmlns:a="http://schemas.openxmlformats.org/drawingml/2006/main" w="7620">
          <a:solidFill>
            <a:srgbClr val="548235"/>
          </a:solidFill>
          <a:prstDash val="solid"/>
        </a:ln>
      </xdr:spPr>
    </xdr:sp>
    <xdr:clientData/>
  </xdr:oneCellAnchor>
  <xdr:oneCellAnchor>
    <xdr:from>
      <xdr:col>4</xdr:col>
      <xdr:colOff>0</xdr:colOff>
      <xdr:row>77</xdr:row>
      <xdr:rowOff>0</xdr:rowOff>
    </xdr:from>
    <xdr:ext cx="1028700" cy="857250"/>
    <xdr:sp>
      <xdr:nvSpPr>
        <xdr:cNvPr id="38" name="shape_1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28700" cy="857250"/>
        </a:xfrm>
        <a:prstGeom xmlns:a="http://schemas.openxmlformats.org/drawingml/2006/main" prst="roundRect">
          <a:avLst/>
        </a:prstGeom>
        <a:ln xmlns:a="http://schemas.openxmlformats.org/drawingml/2006/main" w="14288">
          <a:solidFill>
            <a:srgbClr val="548235"/>
          </a:solidFill>
          <a:prstDash val="solid"/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2</xdr:col>
      <xdr:colOff>0</xdr:colOff>
      <xdr:row>8</xdr:row>
      <xdr:rowOff>0</xdr:rowOff>
    </xdr:from>
    <xdr:ext cx="1371600" cy="685800"/>
    <xdr:sp>
      <xdr:nvSpPr>
        <xdr:cNvPr id="1" name="shape_14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685800"/>
        </a:xfrm>
        <a:prstGeom xmlns:a="http://schemas.openxmlformats.org/drawingml/2006/main" prst="roundRect">
          <a:avLst/>
        </a:prstGeom>
        <a:ln xmlns:a="http://schemas.openxmlformats.org/drawingml/2006/main" w="14288">
          <a:solidFill>
            <a:srgbClr val="548235"/>
          </a:solidFill>
          <a:prstDash val="solid"/>
        </a:ln>
      </xdr:spPr>
    </xdr:sp>
    <xdr:clientData/>
  </xdr:oneCellAnchor>
  <xdr:oneCellAnchor>
    <xdr:from>
      <xdr:col>27</xdr:col>
      <xdr:colOff>0</xdr:colOff>
      <xdr:row>8</xdr:row>
      <xdr:rowOff>0</xdr:rowOff>
    </xdr:from>
    <xdr:ext cx="1371600" cy="685800"/>
    <xdr:sp>
      <xdr:nvSpPr>
        <xdr:cNvPr id="2" name="shape_1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685800"/>
        </a:xfrm>
        <a:prstGeom xmlns:a="http://schemas.openxmlformats.org/drawingml/2006/main" prst="rect">
          <a:avLst/>
        </a:prstGeom>
        <a:ln xmlns:a="http://schemas.openxmlformats.org/drawingml/2006/main" w="14288">
          <a:solidFill>
            <a:srgbClr val="2F75B5"/>
          </a:solidFill>
          <a:prstDash val="solid"/>
        </a:ln>
      </xdr:spPr>
    </xdr:sp>
    <xdr:clientData/>
  </xdr:oneCellAnchor>
  <xdr:oneCellAnchor>
    <xdr:from>
      <xdr:col>2</xdr:col>
      <xdr:colOff>0</xdr:colOff>
      <xdr:row>15</xdr:row>
      <xdr:rowOff>0</xdr:rowOff>
    </xdr:from>
    <xdr:ext cx="1371600" cy="1028700"/>
    <xdr:sp>
      <xdr:nvSpPr>
        <xdr:cNvPr id="3" name="shape_14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1028700"/>
        </a:xfrm>
        <a:prstGeom xmlns:a="http://schemas.openxmlformats.org/drawingml/2006/main" prst="diamond">
          <a:avLst/>
        </a:prstGeom>
        <a:ln xmlns:a="http://schemas.openxmlformats.org/drawingml/2006/main" w="14288">
          <a:solidFill>
            <a:srgbClr val="C55A11"/>
          </a:solidFill>
          <a:prstDash val="solid"/>
        </a:ln>
      </xdr:spPr>
    </xdr:sp>
    <xdr:clientData/>
  </xdr:oneCellAnchor>
  <xdr:oneCellAnchor>
    <xdr:from>
      <xdr:col>27</xdr:col>
      <xdr:colOff>0</xdr:colOff>
      <xdr:row>15</xdr:row>
      <xdr:rowOff>0</xdr:rowOff>
    </xdr:from>
    <xdr:ext cx="1371600" cy="857250"/>
    <xdr:sp>
      <xdr:nvSpPr>
        <xdr:cNvPr id="4" name="shape_14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parallelogram">
          <a:avLst/>
        </a:prstGeom>
        <a:ln xmlns:a="http://schemas.openxmlformats.org/drawingml/2006/main" w="14288">
          <a:solidFill>
            <a:srgbClr val="548235"/>
          </a:solidFill>
          <a:prstDash val="solid"/>
        </a:ln>
      </xdr:spPr>
    </xdr:sp>
    <xdr:clientData/>
  </xdr:oneCellAnchor>
  <xdr:oneCellAnchor>
    <xdr:from>
      <xdr:col>2</xdr:col>
      <xdr:colOff>0</xdr:colOff>
      <xdr:row>24</xdr:row>
      <xdr:rowOff>0</xdr:rowOff>
    </xdr:from>
    <xdr:ext cx="1371600" cy="1028700"/>
    <xdr:sp>
      <xdr:nvSpPr>
        <xdr:cNvPr id="5" name="shape_14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1028700"/>
        </a:xfrm>
        <a:prstGeom xmlns:a="http://schemas.openxmlformats.org/drawingml/2006/main" prst="can">
          <a:avLst/>
        </a:prstGeom>
        <a:ln xmlns:a="http://schemas.openxmlformats.org/drawingml/2006/main" w="14288">
          <a:solidFill>
            <a:srgbClr val="548235"/>
          </a:solidFill>
          <a:prstDash val="solid"/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1371600" cy="857250"/>
    <xdr:sp>
      <xdr:nvSpPr>
        <xdr:cNvPr id="6" name="shape_14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857250"/>
        </a:xfrm>
        <a:prstGeom xmlns:a="http://schemas.openxmlformats.org/drawingml/2006/main" prst="roundRect">
          <a:avLst/>
        </a:prstGeom>
        <a:ln xmlns:a="http://schemas.openxmlformats.org/drawingml/2006/main" w="14288">
          <a:solidFill>
            <a:srgbClr val="7030A0"/>
          </a:solidFill>
          <a:prstDash val="solid"/>
        </a:ln>
      </xdr:spPr>
    </xdr:sp>
    <xdr:clientData/>
  </xdr:oneCellAnchor>
  <xdr:oneCellAnchor>
    <xdr:from>
      <xdr:col>2</xdr:col>
      <xdr:colOff>0</xdr:colOff>
      <xdr:row>34</xdr:row>
      <xdr:rowOff>38100</xdr:rowOff>
    </xdr:from>
    <xdr:ext cx="1371600" cy="95250"/>
    <xdr:sp>
      <xdr:nvSpPr>
        <xdr:cNvPr id="7" name="shape_14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9525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4472C4"/>
        </a:solidFill>
        <a:ln xmlns:a="http://schemas.openxmlformats.org/drawingml/2006/main" w="7620">
          <a:solidFill>
            <a:srgbClr val="4472C4"/>
          </a:solidFill>
          <a:prstDash val="solid"/>
        </a:ln>
      </xdr:spPr>
    </xdr:sp>
    <xdr:clientData/>
  </xdr:oneCellAnchor>
  <xdr:oneCellAnchor>
    <xdr:from>
      <xdr:col>27</xdr:col>
      <xdr:colOff>0</xdr:colOff>
      <xdr:row>34</xdr:row>
      <xdr:rowOff>0</xdr:rowOff>
    </xdr:from>
    <xdr:ext cx="1371600" cy="9525"/>
    <xdr:sp>
      <xdr:nvSpPr>
        <xdr:cNvPr id="8" name="shape_14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9525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666666"/>
          </a:solidFill>
          <a:prstDash val="dash"/>
        </a:ln>
      </xdr:spPr>
    </xdr:sp>
    <xdr:clientData/>
  </xdr:oneCellAnchor>
  <xdr:oneCellAnchor>
    <xdr:from>
      <xdr:col>27</xdr:col>
      <xdr:colOff>0</xdr:colOff>
      <xdr:row>34</xdr:row>
      <xdr:rowOff>0</xdr:rowOff>
    </xdr:from>
    <xdr:ext cx="342900" cy="171450"/>
    <xdr:sp>
      <xdr:nvSpPr>
        <xdr:cNvPr id="9" name="shape_14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42900" cy="171450"/>
        </a:xfrm>
        <a:prstGeom xmlns:a="http://schemas.openxmlformats.org/drawingml/2006/main" prst="leftArrow">
          <a:avLst/>
        </a:prstGeom>
        <a:solidFill xmlns:a="http://schemas.openxmlformats.org/drawingml/2006/main">
          <a:srgbClr val="666666"/>
        </a:solidFill>
        <a:ln xmlns:a="http://schemas.openxmlformats.org/drawingml/2006/main" w="4763">
          <a:solidFill>
            <a:srgbClr val="666666"/>
          </a:solidFill>
          <a:prstDash val="solid"/>
        </a:ln>
      </xdr:spPr>
    </xdr:sp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</xdr:col>
      <xdr:colOff>0</xdr:colOff>
      <xdr:row>7</xdr:row>
      <xdr:rowOff>0</xdr:rowOff>
    </xdr:from>
    <xdr:ext cx="4095750" cy="2381250"/>
    <xdr:pic>
      <xdr:nvPicPr>
        <xdr:cNvPr id="1" name="d8f9f9b3-e2f9-4b9f-a253-6a668d98cb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4b0941f0cb4d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27</xdr:col>
      <xdr:colOff>0</xdr:colOff>
      <xdr:row>7</xdr:row>
      <xdr:rowOff>0</xdr:rowOff>
    </xdr:from>
    <xdr:ext cx="4095750" cy="2381250"/>
    <xdr:pic>
      <xdr:nvPicPr>
        <xdr:cNvPr id="2" name="31077989-129b-4480-95ea-0d84d6ef90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dbf45d8bbc44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fa2107bfdad44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3e9188ee9b946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ddb696566ce541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a3959fbfe4e8424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5.xml" Id="R31870d42981342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6.xml" Id="Ra062f04ff77a4b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</x:cols>
  <x:sheetData>
    <x:row r="1" ht="13.5" customHeight="1">
      <x:c r="A1" s="7" t="str">
        <x:v>経費精算システム
基本・詳細設計書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</x:row>
    <x:row r="2" ht="13.5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</x:row>
    <x:row r="3" ht="13.5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</x:row>
    <x:row r="4" ht="13.5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</x:row>
    <x:row r="5" ht="13.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 ht="13.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 ht="13.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13.5" customHeight="1">
      <x:c r="A8" s="2"/>
      <x:c r="B8" s="2"/>
      <x:c r="C8" s="2"/>
      <x:c r="D8" s="2"/>
      <x:c r="E8" s="36" t="str">
        <x:v>検証用サンプル（架空システム）</x:v>
      </x:c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  <x:c r="AA8" s="37"/>
      <x:c r="AB8" s="37"/>
      <x:c r="AC8" s="37"/>
      <x:c r="AD8" s="37"/>
      <x:c r="AE8" s="37"/>
      <x:c r="AF8" s="37"/>
      <x:c r="AG8" s="37"/>
      <x:c r="AH8" s="37"/>
      <x:c r="AI8" s="37"/>
      <x:c r="AJ8" s="37"/>
      <x:c r="AK8" s="37"/>
      <x:c r="AL8" s="37"/>
      <x:c r="AM8" s="37"/>
      <x:c r="AN8" s="37"/>
      <x:c r="AO8" s="37"/>
      <x:c r="AP8" s="37"/>
      <x:c r="AQ8" s="37"/>
      <x:c r="AR8" s="37"/>
      <x:c r="AS8" s="37"/>
      <x:c r="AT8" s="37"/>
      <x:c r="AU8" s="37"/>
      <x:c r="AV8" s="38"/>
      <x:c r="AW8" s="2"/>
      <x:c r="AX8" s="2"/>
      <x:c r="AY8" s="2"/>
      <x:c r="AZ8" s="2"/>
    </x:row>
    <x:row r="9" ht="13.5" customHeight="1">
      <x:c r="A9" s="2"/>
      <x:c r="B9" s="2"/>
      <x:c r="C9" s="2"/>
      <x:c r="D9" s="2"/>
      <x:c r="E9" s="39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  <x:c r="AA9" s="40"/>
      <x:c r="AB9" s="40"/>
      <x:c r="AC9" s="40"/>
      <x:c r="AD9" s="40"/>
      <x:c r="AE9" s="40"/>
      <x:c r="AF9" s="40"/>
      <x:c r="AG9" s="40"/>
      <x:c r="AH9" s="40"/>
      <x:c r="AI9" s="40"/>
      <x:c r="AJ9" s="40"/>
      <x:c r="AK9" s="40"/>
      <x:c r="AL9" s="40"/>
      <x:c r="AM9" s="40"/>
      <x:c r="AN9" s="40"/>
      <x:c r="AO9" s="40"/>
      <x:c r="AP9" s="40"/>
      <x:c r="AQ9" s="40"/>
      <x:c r="AR9" s="40"/>
      <x:c r="AS9" s="40"/>
      <x:c r="AT9" s="40"/>
      <x:c r="AU9" s="40"/>
      <x:c r="AV9" s="41"/>
      <x:c r="AW9" s="2"/>
      <x:c r="AX9" s="2"/>
      <x:c r="AY9" s="2"/>
      <x:c r="AZ9" s="2"/>
    </x:row>
    <x:row r="10" ht="13.5" customHeight="1">
      <x:c r="A10" s="2"/>
      <x:c r="B10" s="2"/>
      <x:c r="C10" s="2"/>
      <x:c r="D10" s="2"/>
      <x:c r="E10" s="42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  <x:c r="AA10" s="43"/>
      <x:c r="AB10" s="43"/>
      <x:c r="AC10" s="43"/>
      <x:c r="AD10" s="43"/>
      <x:c r="AE10" s="43"/>
      <x:c r="AF10" s="43"/>
      <x:c r="AG10" s="43"/>
      <x:c r="AH10" s="43"/>
      <x:c r="AI10" s="43"/>
      <x:c r="AJ10" s="43"/>
      <x:c r="AK10" s="43"/>
      <x:c r="AL10" s="43"/>
      <x:c r="AM10" s="43"/>
      <x:c r="AN10" s="43"/>
      <x:c r="AO10" s="43"/>
      <x:c r="AP10" s="43"/>
      <x:c r="AQ10" s="43"/>
      <x:c r="AR10" s="43"/>
      <x:c r="AS10" s="43"/>
      <x:c r="AT10" s="43"/>
      <x:c r="AU10" s="43"/>
      <x:c r="AV10" s="44"/>
      <x:c r="AW10" s="2"/>
      <x:c r="AX10" s="2"/>
      <x:c r="AY10" s="2"/>
      <x:c r="AZ10" s="2"/>
    </x:row>
    <x:row r="11" ht="13.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 ht="13.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 ht="13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 ht="13.5" customHeight="1">
      <x:c r="A14" s="2"/>
      <x:c r="B14" s="2"/>
      <x:c r="C14" s="2"/>
      <x:c r="D14" s="2"/>
      <x:c r="E14" s="2"/>
      <x:c r="F14" s="2"/>
      <x:c r="G14" s="50" t="str">
        <x:v>文書番号</x:v>
      </x:c>
      <x:c r="H14" s="50"/>
      <x:c r="I14" s="50"/>
      <x:c r="J14" s="50"/>
      <x:c r="K14" s="50"/>
      <x:c r="L14" s="50"/>
      <x:c r="M14" s="50"/>
      <x:c r="N14" s="50"/>
      <x:c r="O14" s="56" t="str">
        <x:v>EXPS-DES-001</x:v>
      </x:c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  <x:c r="Z14" s="56"/>
      <x:c r="AA14" s="56"/>
      <x:c r="AB14" s="56"/>
      <x:c r="AC14" s="50" t="str">
        <x:v>版</x:v>
      </x:c>
      <x:c r="AD14" s="50"/>
      <x:c r="AE14" s="50"/>
      <x:c r="AF14" s="50"/>
      <x:c r="AG14" s="50"/>
      <x:c r="AH14" s="50"/>
      <x:c r="AI14" s="50"/>
      <x:c r="AJ14" s="56" t="str">
        <x:v>1.2</x:v>
      </x:c>
      <x:c r="AK14" s="56"/>
      <x:c r="AL14" s="56"/>
      <x:c r="AM14" s="56"/>
      <x:c r="AN14" s="56"/>
      <x:c r="AO14" s="56"/>
      <x:c r="AP14" s="56"/>
      <x:c r="AQ14" s="56"/>
      <x:c r="AR14" s="56"/>
      <x:c r="AS14" s="56"/>
      <x:c r="AT14" s="56"/>
      <x:c r="AU14" s="2"/>
      <x:c r="AV14" s="2"/>
      <x:c r="AW14" s="2"/>
      <x:c r="AX14" s="2"/>
      <x:c r="AY14" s="2"/>
      <x:c r="AZ14" s="2"/>
    </x:row>
    <x:row r="15" ht="13.5" customHeight="1">
      <x:c r="A15" s="2"/>
      <x:c r="B15" s="2"/>
      <x:c r="C15" s="2"/>
      <x:c r="D15" s="2"/>
      <x:c r="E15" s="2"/>
      <x:c r="F15" s="2"/>
      <x:c r="G15" s="50"/>
      <x:c r="H15" s="50"/>
      <x:c r="I15" s="50"/>
      <x:c r="J15" s="50"/>
      <x:c r="K15" s="50"/>
      <x:c r="L15" s="50"/>
      <x:c r="M15" s="50"/>
      <x:c r="N15" s="50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  <x:c r="Z15" s="56"/>
      <x:c r="AA15" s="56"/>
      <x:c r="AB15" s="56"/>
      <x:c r="AC15" s="50"/>
      <x:c r="AD15" s="50"/>
      <x:c r="AE15" s="50"/>
      <x:c r="AF15" s="50"/>
      <x:c r="AG15" s="50"/>
      <x:c r="AH15" s="50"/>
      <x:c r="AI15" s="50"/>
      <x:c r="AJ15" s="56"/>
      <x:c r="AK15" s="56"/>
      <x:c r="AL15" s="56"/>
      <x:c r="AM15" s="56"/>
      <x:c r="AN15" s="56"/>
      <x:c r="AO15" s="56"/>
      <x:c r="AP15" s="56"/>
      <x:c r="AQ15" s="56"/>
      <x:c r="AR15" s="56"/>
      <x:c r="AS15" s="56"/>
      <x:c r="AT15" s="56"/>
      <x:c r="AU15" s="2"/>
      <x:c r="AV15" s="2"/>
      <x:c r="AW15" s="2"/>
      <x:c r="AX15" s="2"/>
      <x:c r="AY15" s="2"/>
      <x:c r="AZ15" s="2"/>
    </x:row>
    <x:row r="16" ht="13.5" customHeight="1">
      <x:c r="A16" s="2"/>
      <x:c r="B16" s="2"/>
      <x:c r="C16" s="2"/>
      <x:c r="D16" s="2"/>
      <x:c r="E16" s="2"/>
      <x:c r="F16" s="2"/>
      <x:c r="G16" s="50"/>
      <x:c r="H16" s="50"/>
      <x:c r="I16" s="50"/>
      <x:c r="J16" s="50"/>
      <x:c r="K16" s="50"/>
      <x:c r="L16" s="50"/>
      <x:c r="M16" s="50"/>
      <x:c r="N16" s="50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  <x:c r="Z16" s="56"/>
      <x:c r="AA16" s="56"/>
      <x:c r="AB16" s="56"/>
      <x:c r="AC16" s="50"/>
      <x:c r="AD16" s="50"/>
      <x:c r="AE16" s="50"/>
      <x:c r="AF16" s="50"/>
      <x:c r="AG16" s="50"/>
      <x:c r="AH16" s="50"/>
      <x:c r="AI16" s="50"/>
      <x:c r="AJ16" s="56"/>
      <x:c r="AK16" s="56"/>
      <x:c r="AL16" s="56"/>
      <x:c r="AM16" s="56"/>
      <x:c r="AN16" s="56"/>
      <x:c r="AO16" s="56"/>
      <x:c r="AP16" s="56"/>
      <x:c r="AQ16" s="56"/>
      <x:c r="AR16" s="56"/>
      <x:c r="AS16" s="56"/>
      <x:c r="AT16" s="56"/>
      <x:c r="AU16" s="2"/>
      <x:c r="AV16" s="2"/>
      <x:c r="AW16" s="2"/>
      <x:c r="AX16" s="2"/>
      <x:c r="AY16" s="2"/>
      <x:c r="AZ16" s="2"/>
    </x:row>
    <x:row r="17" ht="13.5" customHeight="1">
      <x:c r="A17" s="2"/>
      <x:c r="B17" s="2"/>
      <x:c r="C17" s="2"/>
      <x:c r="D17" s="2"/>
      <x:c r="E17" s="2"/>
      <x:c r="F17" s="2"/>
      <x:c r="G17" s="50" t="str">
        <x:v>作成日</x:v>
      </x:c>
      <x:c r="H17" s="50"/>
      <x:c r="I17" s="50"/>
      <x:c r="J17" s="50"/>
      <x:c r="K17" s="50"/>
      <x:c r="L17" s="50"/>
      <x:c r="M17" s="50"/>
      <x:c r="N17" s="50"/>
      <x:c r="O17" s="56" t="str">
        <x:v>2026-08-23</x:v>
      </x:c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  <x:c r="Z17" s="56"/>
      <x:c r="AA17" s="56"/>
      <x:c r="AB17" s="56"/>
      <x:c r="AC17" s="50" t="str">
        <x:v>状態</x:v>
      </x:c>
      <x:c r="AD17" s="50"/>
      <x:c r="AE17" s="50"/>
      <x:c r="AF17" s="50"/>
      <x:c r="AG17" s="50"/>
      <x:c r="AH17" s="50"/>
      <x:c r="AI17" s="50"/>
      <x:c r="AJ17" s="56" t="str">
        <x:v>レビュー中（検証用）</x:v>
      </x:c>
      <x:c r="AK17" s="56"/>
      <x:c r="AL17" s="56"/>
      <x:c r="AM17" s="56"/>
      <x:c r="AN17" s="56"/>
      <x:c r="AO17" s="56"/>
      <x:c r="AP17" s="56"/>
      <x:c r="AQ17" s="56"/>
      <x:c r="AR17" s="56"/>
      <x:c r="AS17" s="56"/>
      <x:c r="AT17" s="56"/>
      <x:c r="AU17" s="2"/>
      <x:c r="AV17" s="2"/>
      <x:c r="AW17" s="2"/>
      <x:c r="AX17" s="2"/>
      <x:c r="AY17" s="2"/>
      <x:c r="AZ17" s="2"/>
    </x:row>
    <x:row r="18" ht="13.5" customHeight="1">
      <x:c r="A18" s="2"/>
      <x:c r="B18" s="2"/>
      <x:c r="C18" s="2"/>
      <x:c r="D18" s="2"/>
      <x:c r="E18" s="2"/>
      <x:c r="F18" s="2"/>
      <x:c r="G18" s="50"/>
      <x:c r="H18" s="50"/>
      <x:c r="I18" s="50"/>
      <x:c r="J18" s="50"/>
      <x:c r="K18" s="50"/>
      <x:c r="L18" s="50"/>
      <x:c r="M18" s="50"/>
      <x:c r="N18" s="50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  <x:c r="Z18" s="56"/>
      <x:c r="AA18" s="56"/>
      <x:c r="AB18" s="56"/>
      <x:c r="AC18" s="50"/>
      <x:c r="AD18" s="50"/>
      <x:c r="AE18" s="50"/>
      <x:c r="AF18" s="50"/>
      <x:c r="AG18" s="50"/>
      <x:c r="AH18" s="50"/>
      <x:c r="AI18" s="50"/>
      <x:c r="AJ18" s="56"/>
      <x:c r="AK18" s="56"/>
      <x:c r="AL18" s="56"/>
      <x:c r="AM18" s="56"/>
      <x:c r="AN18" s="56"/>
      <x:c r="AO18" s="56"/>
      <x:c r="AP18" s="56"/>
      <x:c r="AQ18" s="56"/>
      <x:c r="AR18" s="56"/>
      <x:c r="AS18" s="56"/>
      <x:c r="AT18" s="56"/>
      <x:c r="AU18" s="2"/>
      <x:c r="AV18" s="2"/>
      <x:c r="AW18" s="2"/>
      <x:c r="AX18" s="2"/>
      <x:c r="AY18" s="2"/>
      <x:c r="AZ18" s="2"/>
    </x:row>
    <x:row r="19" ht="13.5" customHeight="1">
      <x:c r="A19" s="2"/>
      <x:c r="B19" s="2"/>
      <x:c r="C19" s="2"/>
      <x:c r="D19" s="2"/>
      <x:c r="E19" s="2"/>
      <x:c r="F19" s="2"/>
      <x:c r="G19" s="50"/>
      <x:c r="H19" s="50"/>
      <x:c r="I19" s="50"/>
      <x:c r="J19" s="50"/>
      <x:c r="K19" s="50"/>
      <x:c r="L19" s="50"/>
      <x:c r="M19" s="50"/>
      <x:c r="N19" s="50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  <x:c r="Z19" s="56"/>
      <x:c r="AA19" s="56"/>
      <x:c r="AB19" s="56"/>
      <x:c r="AC19" s="50"/>
      <x:c r="AD19" s="50"/>
      <x:c r="AE19" s="50"/>
      <x:c r="AF19" s="50"/>
      <x:c r="AG19" s="50"/>
      <x:c r="AH19" s="50"/>
      <x:c r="AI19" s="50"/>
      <x:c r="AJ19" s="56"/>
      <x:c r="AK19" s="56"/>
      <x:c r="AL19" s="56"/>
      <x:c r="AM19" s="56"/>
      <x:c r="AN19" s="56"/>
      <x:c r="AO19" s="56"/>
      <x:c r="AP19" s="56"/>
      <x:c r="AQ19" s="56"/>
      <x:c r="AR19" s="56"/>
      <x:c r="AS19" s="56"/>
      <x:c r="AT19" s="56"/>
      <x:c r="AU19" s="2"/>
      <x:c r="AV19" s="2"/>
      <x:c r="AW19" s="2"/>
      <x:c r="AX19" s="2"/>
      <x:c r="AY19" s="2"/>
      <x:c r="AZ19" s="2"/>
    </x:row>
    <x:row r="20" ht="13.5" customHeight="1">
      <x:c r="A20" s="2"/>
      <x:c r="B20" s="2"/>
      <x:c r="C20" s="2"/>
      <x:c r="D20" s="2"/>
      <x:c r="E20" s="2"/>
      <x:c r="F20" s="2"/>
      <x:c r="G20" s="50" t="str">
        <x:v>対象システム</x:v>
      </x:c>
      <x:c r="H20" s="50"/>
      <x:c r="I20" s="50"/>
      <x:c r="J20" s="50"/>
      <x:c r="K20" s="50"/>
      <x:c r="L20" s="50"/>
      <x:c r="M20" s="50"/>
      <x:c r="N20" s="50"/>
      <x:c r="O20" s="56" t="str">
        <x:v>経費精算システム</x:v>
      </x:c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  <x:c r="Z20" s="56"/>
      <x:c r="AA20" s="56"/>
      <x:c r="AB20" s="56"/>
      <x:c r="AC20" s="50" t="str">
        <x:v>機密区分</x:v>
      </x:c>
      <x:c r="AD20" s="50"/>
      <x:c r="AE20" s="50"/>
      <x:c r="AF20" s="50"/>
      <x:c r="AG20" s="50"/>
      <x:c r="AH20" s="50"/>
      <x:c r="AI20" s="50"/>
      <x:c r="AJ20" s="56" t="str">
        <x:v>社内一般（架空）</x:v>
      </x:c>
      <x:c r="AK20" s="56"/>
      <x:c r="AL20" s="56"/>
      <x:c r="AM20" s="56"/>
      <x:c r="AN20" s="56"/>
      <x:c r="AO20" s="56"/>
      <x:c r="AP20" s="56"/>
      <x:c r="AQ20" s="56"/>
      <x:c r="AR20" s="56"/>
      <x:c r="AS20" s="56"/>
      <x:c r="AT20" s="56"/>
      <x:c r="AU20" s="2"/>
      <x:c r="AV20" s="2"/>
      <x:c r="AW20" s="2"/>
      <x:c r="AX20" s="2"/>
      <x:c r="AY20" s="2"/>
      <x:c r="AZ20" s="2"/>
    </x:row>
    <x:row r="21" ht="13.5" customHeight="1">
      <x:c r="A21" s="2"/>
      <x:c r="B21" s="2"/>
      <x:c r="C21" s="2"/>
      <x:c r="D21" s="2"/>
      <x:c r="E21" s="2"/>
      <x:c r="F21" s="2"/>
      <x:c r="G21" s="50"/>
      <x:c r="H21" s="50"/>
      <x:c r="I21" s="50"/>
      <x:c r="J21" s="50"/>
      <x:c r="K21" s="50"/>
      <x:c r="L21" s="50"/>
      <x:c r="M21" s="50"/>
      <x:c r="N21" s="50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  <x:c r="Z21" s="56"/>
      <x:c r="AA21" s="56"/>
      <x:c r="AB21" s="56"/>
      <x:c r="AC21" s="50"/>
      <x:c r="AD21" s="50"/>
      <x:c r="AE21" s="50"/>
      <x:c r="AF21" s="50"/>
      <x:c r="AG21" s="50"/>
      <x:c r="AH21" s="50"/>
      <x:c r="AI21" s="50"/>
      <x:c r="AJ21" s="56"/>
      <x:c r="AK21" s="56"/>
      <x:c r="AL21" s="56"/>
      <x:c r="AM21" s="56"/>
      <x:c r="AN21" s="56"/>
      <x:c r="AO21" s="56"/>
      <x:c r="AP21" s="56"/>
      <x:c r="AQ21" s="56"/>
      <x:c r="AR21" s="56"/>
      <x:c r="AS21" s="56"/>
      <x:c r="AT21" s="56"/>
      <x:c r="AU21" s="2"/>
      <x:c r="AV21" s="2"/>
      <x:c r="AW21" s="2"/>
      <x:c r="AX21" s="2"/>
      <x:c r="AY21" s="2"/>
      <x:c r="AZ21" s="2"/>
    </x:row>
    <x:row r="22" ht="13.5" customHeight="1">
      <x:c r="A22" s="2"/>
      <x:c r="B22" s="2"/>
      <x:c r="C22" s="2"/>
      <x:c r="D22" s="2"/>
      <x:c r="E22" s="2"/>
      <x:c r="F22" s="2"/>
      <x:c r="G22" s="50"/>
      <x:c r="H22" s="50"/>
      <x:c r="I22" s="50"/>
      <x:c r="J22" s="50"/>
      <x:c r="K22" s="50"/>
      <x:c r="L22" s="50"/>
      <x:c r="M22" s="50"/>
      <x:c r="N22" s="50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  <x:c r="Z22" s="56"/>
      <x:c r="AA22" s="56"/>
      <x:c r="AB22" s="56"/>
      <x:c r="AC22" s="50"/>
      <x:c r="AD22" s="50"/>
      <x:c r="AE22" s="50"/>
      <x:c r="AF22" s="50"/>
      <x:c r="AG22" s="50"/>
      <x:c r="AH22" s="50"/>
      <x:c r="AI22" s="50"/>
      <x:c r="AJ22" s="56"/>
      <x:c r="AK22" s="56"/>
      <x:c r="AL22" s="56"/>
      <x:c r="AM22" s="56"/>
      <x:c r="AN22" s="56"/>
      <x:c r="AO22" s="56"/>
      <x:c r="AP22" s="56"/>
      <x:c r="AQ22" s="56"/>
      <x:c r="AR22" s="56"/>
      <x:c r="AS22" s="56"/>
      <x:c r="AT22" s="56"/>
      <x:c r="AU22" s="2"/>
      <x:c r="AV22" s="2"/>
      <x:c r="AW22" s="2"/>
      <x:c r="AX22" s="2"/>
      <x:c r="AY22" s="2"/>
      <x:c r="AZ22" s="2"/>
    </x:row>
    <x:row r="23" ht="13.5" customHeight="1">
      <x:c r="A23" s="2"/>
      <x:c r="B23" s="2"/>
      <x:c r="C23" s="2"/>
      <x:c r="D23" s="2"/>
      <x:c r="E23" s="2"/>
      <x:c r="F23" s="2"/>
      <x:c r="G23" s="50" t="str">
        <x:v>作成者</x:v>
      </x:c>
      <x:c r="H23" s="50"/>
      <x:c r="I23" s="50"/>
      <x:c r="J23" s="50"/>
      <x:c r="K23" s="50"/>
      <x:c r="L23" s="50"/>
      <x:c r="M23" s="50"/>
      <x:c r="N23" s="50"/>
      <x:c r="O23" s="56" t="str">
        <x:v>アプリ設計担当</x:v>
      </x:c>
      <x:c r="P23" s="56"/>
      <x:c r="Q23" s="56"/>
      <x:c r="R23" s="56"/>
      <x:c r="S23" s="56"/>
      <x:c r="T23" s="56"/>
      <x:c r="U23" s="56"/>
      <x:c r="V23" s="56"/>
      <x:c r="W23" s="56"/>
      <x:c r="X23" s="56"/>
      <x:c r="Y23" s="56"/>
      <x:c r="Z23" s="56"/>
      <x:c r="AA23" s="56"/>
      <x:c r="AB23" s="56"/>
      <x:c r="AC23" s="50" t="str">
        <x:v>確認者</x:v>
      </x:c>
      <x:c r="AD23" s="50"/>
      <x:c r="AE23" s="50"/>
      <x:c r="AF23" s="50"/>
      <x:c r="AG23" s="50"/>
      <x:c r="AH23" s="50"/>
      <x:c r="AI23" s="50"/>
      <x:c r="AJ23" s="56" t="str">
        <x:v>業務・基盤担当</x:v>
      </x:c>
      <x:c r="AK23" s="56"/>
      <x:c r="AL23" s="56"/>
      <x:c r="AM23" s="56"/>
      <x:c r="AN23" s="56"/>
      <x:c r="AO23" s="56"/>
      <x:c r="AP23" s="56"/>
      <x:c r="AQ23" s="56"/>
      <x:c r="AR23" s="56"/>
      <x:c r="AS23" s="56"/>
      <x:c r="AT23" s="56"/>
      <x:c r="AU23" s="2"/>
      <x:c r="AV23" s="2"/>
      <x:c r="AW23" s="2"/>
      <x:c r="AX23" s="2"/>
      <x:c r="AY23" s="2"/>
      <x:c r="AZ23" s="2"/>
    </x:row>
    <x:row r="24" ht="13.5" customHeight="1">
      <x:c r="A24" s="2"/>
      <x:c r="B24" s="2"/>
      <x:c r="C24" s="2"/>
      <x:c r="D24" s="2"/>
      <x:c r="E24" s="2"/>
      <x:c r="F24" s="2"/>
      <x:c r="G24" s="50"/>
      <x:c r="H24" s="50"/>
      <x:c r="I24" s="50"/>
      <x:c r="J24" s="50"/>
      <x:c r="K24" s="50"/>
      <x:c r="L24" s="50"/>
      <x:c r="M24" s="50"/>
      <x:c r="N24" s="50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56"/>
      <x:c r="Z24" s="56"/>
      <x:c r="AA24" s="56"/>
      <x:c r="AB24" s="56"/>
      <x:c r="AC24" s="50"/>
      <x:c r="AD24" s="50"/>
      <x:c r="AE24" s="50"/>
      <x:c r="AF24" s="50"/>
      <x:c r="AG24" s="50"/>
      <x:c r="AH24" s="50"/>
      <x:c r="AI24" s="50"/>
      <x:c r="AJ24" s="56"/>
      <x:c r="AK24" s="56"/>
      <x:c r="AL24" s="56"/>
      <x:c r="AM24" s="56"/>
      <x:c r="AN24" s="56"/>
      <x:c r="AO24" s="56"/>
      <x:c r="AP24" s="56"/>
      <x:c r="AQ24" s="56"/>
      <x:c r="AR24" s="56"/>
      <x:c r="AS24" s="56"/>
      <x:c r="AT24" s="56"/>
      <x:c r="AU24" s="2"/>
      <x:c r="AV24" s="2"/>
      <x:c r="AW24" s="2"/>
      <x:c r="AX24" s="2"/>
      <x:c r="AY24" s="2"/>
      <x:c r="AZ24" s="2"/>
    </x:row>
    <x:row r="25" ht="13.5" customHeight="1">
      <x:c r="A25" s="2"/>
      <x:c r="B25" s="2"/>
      <x:c r="C25" s="2"/>
      <x:c r="D25" s="2"/>
      <x:c r="E25" s="2"/>
      <x:c r="F25" s="2"/>
      <x:c r="G25" s="50"/>
      <x:c r="H25" s="50"/>
      <x:c r="I25" s="50"/>
      <x:c r="J25" s="50"/>
      <x:c r="K25" s="50"/>
      <x:c r="L25" s="50"/>
      <x:c r="M25" s="50"/>
      <x:c r="N25" s="50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56"/>
      <x:c r="Z25" s="56"/>
      <x:c r="AA25" s="56"/>
      <x:c r="AB25" s="56"/>
      <x:c r="AC25" s="50"/>
      <x:c r="AD25" s="50"/>
      <x:c r="AE25" s="50"/>
      <x:c r="AF25" s="50"/>
      <x:c r="AG25" s="50"/>
      <x:c r="AH25" s="50"/>
      <x:c r="AI25" s="50"/>
      <x:c r="AJ25" s="56"/>
      <x:c r="AK25" s="56"/>
      <x:c r="AL25" s="56"/>
      <x:c r="AM25" s="56"/>
      <x:c r="AN25" s="56"/>
      <x:c r="AO25" s="56"/>
      <x:c r="AP25" s="56"/>
      <x:c r="AQ25" s="56"/>
      <x:c r="AR25" s="56"/>
      <x:c r="AS25" s="56"/>
      <x:c r="AT25" s="56"/>
      <x:c r="AU25" s="2"/>
      <x:c r="AV25" s="2"/>
      <x:c r="AW25" s="2"/>
      <x:c r="AX25" s="2"/>
      <x:c r="AY25" s="2"/>
      <x:c r="AZ25" s="2"/>
    </x:row>
    <x:row r="26" ht="13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 ht="13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 ht="13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 ht="13.5" customHeight="1">
      <x:c r="A29" s="2"/>
      <x:c r="B29" s="2"/>
      <x:c r="C29" s="2"/>
      <x:c r="D29" s="2"/>
      <x:c r="E29" s="77" t="str">
        <x:v>1. 文書の目的</x:v>
      </x:c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78"/>
      <x:c r="AA29" s="78"/>
      <x:c r="AB29" s="78"/>
      <x:c r="AC29" s="78"/>
      <x:c r="AD29" s="78"/>
      <x:c r="AE29" s="78"/>
      <x:c r="AF29" s="78"/>
      <x:c r="AG29" s="78"/>
      <x:c r="AH29" s="78"/>
      <x:c r="AI29" s="78"/>
      <x:c r="AJ29" s="78"/>
      <x:c r="AK29" s="78"/>
      <x:c r="AL29" s="78"/>
      <x:c r="AM29" s="78"/>
      <x:c r="AN29" s="78"/>
      <x:c r="AO29" s="78"/>
      <x:c r="AP29" s="78"/>
      <x:c r="AQ29" s="78"/>
      <x:c r="AR29" s="78"/>
      <x:c r="AS29" s="78"/>
      <x:c r="AT29" s="78"/>
      <x:c r="AU29" s="78"/>
      <x:c r="AV29" s="79"/>
      <x:c r="AW29" s="2"/>
      <x:c r="AX29" s="2"/>
      <x:c r="AY29" s="2"/>
      <x:c r="AZ29" s="2"/>
    </x:row>
    <x:row r="30" ht="13.5" customHeight="1">
      <x:c r="A30" s="2"/>
      <x:c r="B30" s="2"/>
      <x:c r="C30" s="2"/>
      <x:c r="D30" s="2"/>
      <x:c r="E30" s="80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  <x:c r="AA30" s="81"/>
      <x:c r="AB30" s="81"/>
      <x:c r="AC30" s="81"/>
      <x:c r="AD30" s="81"/>
      <x:c r="AE30" s="81"/>
      <x:c r="AF30" s="81"/>
      <x:c r="AG30" s="81"/>
      <x:c r="AH30" s="81"/>
      <x:c r="AI30" s="81"/>
      <x:c r="AJ30" s="81"/>
      <x:c r="AK30" s="81"/>
      <x:c r="AL30" s="81"/>
      <x:c r="AM30" s="81"/>
      <x:c r="AN30" s="81"/>
      <x:c r="AO30" s="81"/>
      <x:c r="AP30" s="81"/>
      <x:c r="AQ30" s="81"/>
      <x:c r="AR30" s="81"/>
      <x:c r="AS30" s="81"/>
      <x:c r="AT30" s="81"/>
      <x:c r="AU30" s="81"/>
      <x:c r="AV30" s="82"/>
      <x:c r="AW30" s="2"/>
      <x:c r="AX30" s="2"/>
      <x:c r="AY30" s="2"/>
      <x:c r="AZ30" s="2"/>
    </x:row>
    <x:row r="31" ht="13.5" customHeight="1">
      <x:c r="A31" s="2"/>
      <x:c r="B31" s="2"/>
      <x:c r="C31" s="2"/>
      <x:c r="D31" s="2"/>
      <x:c r="E31" s="109" t="str">
        <x:v>設計書解析・図形認識・表構造抽出・日本語文書処理の検証入力として使用する。Excel方眼紙の体裁を再現しつつ、状態遷移、シーケンス、業務フロー、画面入力、API／データ、テスト観点を相互参照できるようにした。</x:v>
      </x:c>
      <x:c r="F31" s="110"/>
      <x:c r="G31" s="110"/>
      <x:c r="H31" s="110"/>
      <x:c r="I31" s="110"/>
      <x:c r="J31" s="110"/>
      <x:c r="K31" s="110"/>
      <x:c r="L31" s="110"/>
      <x:c r="M31" s="110"/>
      <x:c r="N31" s="110"/>
      <x:c r="O31" s="110"/>
      <x:c r="P31" s="110"/>
      <x:c r="Q31" s="110"/>
      <x:c r="R31" s="110"/>
      <x:c r="S31" s="110"/>
      <x:c r="T31" s="110"/>
      <x:c r="U31" s="110"/>
      <x:c r="V31" s="110"/>
      <x:c r="W31" s="110"/>
      <x:c r="X31" s="110"/>
      <x:c r="Y31" s="110"/>
      <x:c r="Z31" s="110"/>
      <x:c r="AA31" s="110"/>
      <x:c r="AB31" s="110"/>
      <x:c r="AC31" s="110"/>
      <x:c r="AD31" s="110"/>
      <x:c r="AE31" s="110"/>
      <x:c r="AF31" s="110"/>
      <x:c r="AG31" s="110"/>
      <x:c r="AH31" s="110"/>
      <x:c r="AI31" s="110"/>
      <x:c r="AJ31" s="110"/>
      <x:c r="AK31" s="110"/>
      <x:c r="AL31" s="110"/>
      <x:c r="AM31" s="110"/>
      <x:c r="AN31" s="110"/>
      <x:c r="AO31" s="110"/>
      <x:c r="AP31" s="110"/>
      <x:c r="AQ31" s="110"/>
      <x:c r="AR31" s="110"/>
      <x:c r="AS31" s="110"/>
      <x:c r="AT31" s="110"/>
      <x:c r="AU31" s="110"/>
      <x:c r="AV31" s="111"/>
      <x:c r="AW31" s="2"/>
      <x:c r="AX31" s="2"/>
      <x:c r="AY31" s="2"/>
      <x:c r="AZ31" s="2"/>
    </x:row>
    <x:row r="32" ht="13.5" customHeight="1">
      <x:c r="A32" s="2"/>
      <x:c r="B32" s="2"/>
      <x:c r="C32" s="2"/>
      <x:c r="D32" s="2"/>
      <x:c r="E32" s="112"/>
      <x:c r="F32" s="113"/>
      <x:c r="G32" s="113"/>
      <x:c r="H32" s="113"/>
      <x:c r="I32" s="113"/>
      <x:c r="J32" s="113"/>
      <x:c r="K32" s="113"/>
      <x:c r="L32" s="113"/>
      <x:c r="M32" s="113"/>
      <x:c r="N32" s="113"/>
      <x:c r="O32" s="113"/>
      <x:c r="P32" s="113"/>
      <x:c r="Q32" s="113"/>
      <x:c r="R32" s="113"/>
      <x:c r="S32" s="113"/>
      <x:c r="T32" s="113"/>
      <x:c r="U32" s="113"/>
      <x:c r="V32" s="113"/>
      <x:c r="W32" s="113"/>
      <x:c r="X32" s="113"/>
      <x:c r="Y32" s="113"/>
      <x:c r="Z32" s="113"/>
      <x:c r="AA32" s="113"/>
      <x:c r="AB32" s="113"/>
      <x:c r="AC32" s="113"/>
      <x:c r="AD32" s="113"/>
      <x:c r="AE32" s="113"/>
      <x:c r="AF32" s="113"/>
      <x:c r="AG32" s="113"/>
      <x:c r="AH32" s="113"/>
      <x:c r="AI32" s="113"/>
      <x:c r="AJ32" s="113"/>
      <x:c r="AK32" s="113"/>
      <x:c r="AL32" s="113"/>
      <x:c r="AM32" s="113"/>
      <x:c r="AN32" s="113"/>
      <x:c r="AO32" s="113"/>
      <x:c r="AP32" s="113"/>
      <x:c r="AQ32" s="113"/>
      <x:c r="AR32" s="113"/>
      <x:c r="AS32" s="113"/>
      <x:c r="AT32" s="113"/>
      <x:c r="AU32" s="113"/>
      <x:c r="AV32" s="114"/>
      <x:c r="AW32" s="2"/>
      <x:c r="AX32" s="2"/>
      <x:c r="AY32" s="2"/>
      <x:c r="AZ32" s="2"/>
    </x:row>
    <x:row r="33" ht="13.5" customHeight="1">
      <x:c r="A33" s="2"/>
      <x:c r="B33" s="2"/>
      <x:c r="C33" s="2"/>
      <x:c r="D33" s="2"/>
      <x:c r="E33" s="112"/>
      <x:c r="F33" s="113"/>
      <x:c r="G33" s="113"/>
      <x:c r="H33" s="113"/>
      <x:c r="I33" s="113"/>
      <x:c r="J33" s="113"/>
      <x:c r="K33" s="113"/>
      <x:c r="L33" s="113"/>
      <x:c r="M33" s="113"/>
      <x:c r="N33" s="113"/>
      <x:c r="O33" s="113"/>
      <x:c r="P33" s="113"/>
      <x:c r="Q33" s="113"/>
      <x:c r="R33" s="113"/>
      <x:c r="S33" s="113"/>
      <x:c r="T33" s="113"/>
      <x:c r="U33" s="113"/>
      <x:c r="V33" s="113"/>
      <x:c r="W33" s="113"/>
      <x:c r="X33" s="113"/>
      <x:c r="Y33" s="113"/>
      <x:c r="Z33" s="113"/>
      <x:c r="AA33" s="113"/>
      <x:c r="AB33" s="113"/>
      <x:c r="AC33" s="113"/>
      <x:c r="AD33" s="113"/>
      <x:c r="AE33" s="113"/>
      <x:c r="AF33" s="113"/>
      <x:c r="AG33" s="113"/>
      <x:c r="AH33" s="113"/>
      <x:c r="AI33" s="113"/>
      <x:c r="AJ33" s="113"/>
      <x:c r="AK33" s="113"/>
      <x:c r="AL33" s="113"/>
      <x:c r="AM33" s="113"/>
      <x:c r="AN33" s="113"/>
      <x:c r="AO33" s="113"/>
      <x:c r="AP33" s="113"/>
      <x:c r="AQ33" s="113"/>
      <x:c r="AR33" s="113"/>
      <x:c r="AS33" s="113"/>
      <x:c r="AT33" s="113"/>
      <x:c r="AU33" s="113"/>
      <x:c r="AV33" s="114"/>
      <x:c r="AW33" s="2"/>
      <x:c r="AX33" s="2"/>
      <x:c r="AY33" s="2"/>
      <x:c r="AZ33" s="2"/>
    </x:row>
    <x:row r="34" ht="13.5" customHeight="1">
      <x:c r="A34" s="2"/>
      <x:c r="B34" s="2"/>
      <x:c r="C34" s="2"/>
      <x:c r="D34" s="2"/>
      <x:c r="E34" s="112"/>
      <x:c r="F34" s="113"/>
      <x:c r="G34" s="113"/>
      <x:c r="H34" s="113"/>
      <x:c r="I34" s="113"/>
      <x:c r="J34" s="113"/>
      <x:c r="K34" s="113"/>
      <x:c r="L34" s="113"/>
      <x:c r="M34" s="113"/>
      <x:c r="N34" s="113"/>
      <x:c r="O34" s="113"/>
      <x:c r="P34" s="113"/>
      <x:c r="Q34" s="113"/>
      <x:c r="R34" s="113"/>
      <x:c r="S34" s="113"/>
      <x:c r="T34" s="113"/>
      <x:c r="U34" s="113"/>
      <x:c r="V34" s="113"/>
      <x:c r="W34" s="113"/>
      <x:c r="X34" s="113"/>
      <x:c r="Y34" s="113"/>
      <x:c r="Z34" s="113"/>
      <x:c r="AA34" s="113"/>
      <x:c r="AB34" s="113"/>
      <x:c r="AC34" s="113"/>
      <x:c r="AD34" s="113"/>
      <x:c r="AE34" s="113"/>
      <x:c r="AF34" s="113"/>
      <x:c r="AG34" s="113"/>
      <x:c r="AH34" s="113"/>
      <x:c r="AI34" s="113"/>
      <x:c r="AJ34" s="113"/>
      <x:c r="AK34" s="113"/>
      <x:c r="AL34" s="113"/>
      <x:c r="AM34" s="113"/>
      <x:c r="AN34" s="113"/>
      <x:c r="AO34" s="113"/>
      <x:c r="AP34" s="113"/>
      <x:c r="AQ34" s="113"/>
      <x:c r="AR34" s="113"/>
      <x:c r="AS34" s="113"/>
      <x:c r="AT34" s="113"/>
      <x:c r="AU34" s="113"/>
      <x:c r="AV34" s="114"/>
      <x:c r="AW34" s="2"/>
      <x:c r="AX34" s="2"/>
      <x:c r="AY34" s="2"/>
      <x:c r="AZ34" s="2"/>
    </x:row>
    <x:row r="35" ht="13.5" customHeight="1">
      <x:c r="A35" s="2"/>
      <x:c r="B35" s="2"/>
      <x:c r="C35" s="2"/>
      <x:c r="D35" s="2"/>
      <x:c r="E35" s="112"/>
      <x:c r="F35" s="113"/>
      <x:c r="G35" s="113"/>
      <x:c r="H35" s="113"/>
      <x:c r="I35" s="113"/>
      <x:c r="J35" s="113"/>
      <x:c r="K35" s="113"/>
      <x:c r="L35" s="113"/>
      <x:c r="M35" s="113"/>
      <x:c r="N35" s="113"/>
      <x:c r="O35" s="113"/>
      <x:c r="P35" s="113"/>
      <x:c r="Q35" s="113"/>
      <x:c r="R35" s="113"/>
      <x:c r="S35" s="113"/>
      <x:c r="T35" s="113"/>
      <x:c r="U35" s="113"/>
      <x:c r="V35" s="113"/>
      <x:c r="W35" s="113"/>
      <x:c r="X35" s="113"/>
      <x:c r="Y35" s="113"/>
      <x:c r="Z35" s="113"/>
      <x:c r="AA35" s="113"/>
      <x:c r="AB35" s="113"/>
      <x:c r="AC35" s="113"/>
      <x:c r="AD35" s="113"/>
      <x:c r="AE35" s="113"/>
      <x:c r="AF35" s="113"/>
      <x:c r="AG35" s="113"/>
      <x:c r="AH35" s="113"/>
      <x:c r="AI35" s="113"/>
      <x:c r="AJ35" s="113"/>
      <x:c r="AK35" s="113"/>
      <x:c r="AL35" s="113"/>
      <x:c r="AM35" s="113"/>
      <x:c r="AN35" s="113"/>
      <x:c r="AO35" s="113"/>
      <x:c r="AP35" s="113"/>
      <x:c r="AQ35" s="113"/>
      <x:c r="AR35" s="113"/>
      <x:c r="AS35" s="113"/>
      <x:c r="AT35" s="113"/>
      <x:c r="AU35" s="113"/>
      <x:c r="AV35" s="114"/>
      <x:c r="AW35" s="2"/>
      <x:c r="AX35" s="2"/>
      <x:c r="AY35" s="2"/>
      <x:c r="AZ35" s="2"/>
    </x:row>
    <x:row r="36" ht="13.5" customHeight="1">
      <x:c r="A36" s="2"/>
      <x:c r="B36" s="2"/>
      <x:c r="C36" s="2"/>
      <x:c r="D36" s="2"/>
      <x:c r="E36" s="115"/>
      <x:c r="F36" s="116"/>
      <x:c r="G36" s="116"/>
      <x:c r="H36" s="116"/>
      <x:c r="I36" s="116"/>
      <x:c r="J36" s="116"/>
      <x:c r="K36" s="116"/>
      <x:c r="L36" s="116"/>
      <x:c r="M36" s="116"/>
      <x:c r="N36" s="116"/>
      <x:c r="O36" s="116"/>
      <x:c r="P36" s="116"/>
      <x:c r="Q36" s="116"/>
      <x:c r="R36" s="116"/>
      <x:c r="S36" s="116"/>
      <x:c r="T36" s="116"/>
      <x:c r="U36" s="116"/>
      <x:c r="V36" s="116"/>
      <x:c r="W36" s="116"/>
      <x:c r="X36" s="116"/>
      <x:c r="Y36" s="116"/>
      <x:c r="Z36" s="116"/>
      <x:c r="AA36" s="116"/>
      <x:c r="AB36" s="116"/>
      <x:c r="AC36" s="116"/>
      <x:c r="AD36" s="116"/>
      <x:c r="AE36" s="116"/>
      <x:c r="AF36" s="116"/>
      <x:c r="AG36" s="116"/>
      <x:c r="AH36" s="116"/>
      <x:c r="AI36" s="116"/>
      <x:c r="AJ36" s="116"/>
      <x:c r="AK36" s="116"/>
      <x:c r="AL36" s="116"/>
      <x:c r="AM36" s="116"/>
      <x:c r="AN36" s="116"/>
      <x:c r="AO36" s="116"/>
      <x:c r="AP36" s="116"/>
      <x:c r="AQ36" s="116"/>
      <x:c r="AR36" s="116"/>
      <x:c r="AS36" s="116"/>
      <x:c r="AT36" s="116"/>
      <x:c r="AU36" s="116"/>
      <x:c r="AV36" s="117"/>
      <x:c r="AW36" s="2"/>
      <x:c r="AX36" s="2"/>
      <x:c r="AY36" s="2"/>
      <x:c r="AZ36" s="2"/>
    </x:row>
    <x:row r="37" ht="13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 ht="13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 ht="13.5" customHeight="1">
      <x:c r="A39" s="2"/>
      <x:c r="B39" s="2"/>
      <x:c r="C39" s="2"/>
      <x:c r="D39" s="2"/>
      <x:c r="E39" s="77" t="str">
        <x:v>2. 収録シート</x:v>
      </x:c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78"/>
      <x:c r="U39" s="78"/>
      <x:c r="V39" s="78"/>
      <x:c r="W39" s="78"/>
      <x:c r="X39" s="78"/>
      <x:c r="Y39" s="78"/>
      <x:c r="Z39" s="78"/>
      <x:c r="AA39" s="78"/>
      <x:c r="AB39" s="78"/>
      <x:c r="AC39" s="78"/>
      <x:c r="AD39" s="78"/>
      <x:c r="AE39" s="78"/>
      <x:c r="AF39" s="78"/>
      <x:c r="AG39" s="78"/>
      <x:c r="AH39" s="78"/>
      <x:c r="AI39" s="78"/>
      <x:c r="AJ39" s="78"/>
      <x:c r="AK39" s="78"/>
      <x:c r="AL39" s="78"/>
      <x:c r="AM39" s="78"/>
      <x:c r="AN39" s="78"/>
      <x:c r="AO39" s="78"/>
      <x:c r="AP39" s="78"/>
      <x:c r="AQ39" s="78"/>
      <x:c r="AR39" s="78"/>
      <x:c r="AS39" s="78"/>
      <x:c r="AT39" s="78"/>
      <x:c r="AU39" s="78"/>
      <x:c r="AV39" s="79"/>
      <x:c r="AW39" s="2"/>
      <x:c r="AX39" s="2"/>
      <x:c r="AY39" s="2"/>
      <x:c r="AZ39" s="2"/>
    </x:row>
    <x:row r="40" ht="13.5" customHeight="1">
      <x:c r="A40" s="2"/>
      <x:c r="B40" s="2"/>
      <x:c r="C40" s="2"/>
      <x:c r="D40" s="2"/>
      <x:c r="E40" s="80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  <x:c r="AA40" s="81"/>
      <x:c r="AB40" s="81"/>
      <x:c r="AC40" s="81"/>
      <x:c r="AD40" s="81"/>
      <x:c r="AE40" s="81"/>
      <x:c r="AF40" s="81"/>
      <x:c r="AG40" s="81"/>
      <x:c r="AH40" s="81"/>
      <x:c r="AI40" s="81"/>
      <x:c r="AJ40" s="81"/>
      <x:c r="AK40" s="81"/>
      <x:c r="AL40" s="81"/>
      <x:c r="AM40" s="81"/>
      <x:c r="AN40" s="81"/>
      <x:c r="AO40" s="81"/>
      <x:c r="AP40" s="81"/>
      <x:c r="AQ40" s="81"/>
      <x:c r="AR40" s="81"/>
      <x:c r="AS40" s="81"/>
      <x:c r="AT40" s="81"/>
      <x:c r="AU40" s="81"/>
      <x:c r="AV40" s="82"/>
      <x:c r="AW40" s="2"/>
      <x:c r="AX40" s="2"/>
      <x:c r="AY40" s="2"/>
      <x:c r="AZ40" s="2"/>
    </x:row>
    <x:row r="41" ht="13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 ht="13.5" customHeight="1">
      <x:c r="A42" s="2"/>
      <x:c r="B42" s="2"/>
      <x:c r="C42" s="2"/>
      <x:c r="D42" s="2"/>
      <x:c r="E42" s="2"/>
      <x:c r="F42" s="122" t="str">
        <x:v>01</x:v>
      </x:c>
      <x:c r="G42" s="122"/>
      <x:c r="H42" s="122"/>
      <x:c r="I42" s="122" t="str">
        <x:v>システム概要</x:v>
      </x:c>
      <x:c r="J42" s="122"/>
      <x:c r="K42" s="122"/>
      <x:c r="L42" s="122"/>
      <x:c r="M42" s="122"/>
      <x:c r="N42" s="122"/>
      <x:c r="O42" s="122"/>
      <x:c r="P42" s="122"/>
      <x:c r="Q42" s="122"/>
      <x:c r="R42" s="122"/>
      <x:c r="S42" s="122"/>
      <x:c r="T42" s="122"/>
      <x:c r="U42" s="122"/>
      <x:c r="V42" s="122"/>
      <x:c r="W42" s="122" t="str">
        <x:v>前提・構成・非機能要件</x:v>
      </x:c>
      <x:c r="X42" s="122"/>
      <x:c r="Y42" s="122"/>
      <x:c r="Z42" s="122"/>
      <x:c r="AA42" s="122"/>
      <x:c r="AB42" s="122"/>
      <x:c r="AC42" s="122"/>
      <x:c r="AD42" s="122"/>
      <x:c r="AE42" s="122"/>
      <x:c r="AF42" s="122"/>
      <x:c r="AG42" s="122"/>
      <x:c r="AH42" s="122"/>
      <x:c r="AI42" s="122"/>
      <x:c r="AJ42" s="122"/>
      <x:c r="AK42" s="122"/>
      <x:c r="AL42" s="122"/>
      <x:c r="AM42" s="122"/>
      <x:c r="AN42" s="122"/>
      <x:c r="AO42" s="122"/>
      <x:c r="AP42" s="122"/>
      <x:c r="AQ42" s="122"/>
      <x:c r="AR42" s="122"/>
      <x:c r="AS42" s="122"/>
      <x:c r="AT42" s="2"/>
      <x:c r="AU42" s="2"/>
      <x:c r="AV42" s="2"/>
      <x:c r="AW42" s="2"/>
      <x:c r="AX42" s="2"/>
      <x:c r="AY42" s="2"/>
      <x:c r="AZ42" s="2"/>
    </x:row>
    <x:row r="43" ht="13.5" customHeight="1">
      <x:c r="A43" s="2"/>
      <x:c r="B43" s="2"/>
      <x:c r="C43" s="2"/>
      <x:c r="D43" s="2"/>
      <x:c r="E43" s="2"/>
      <x:c r="F43" s="122" t="str">
        <x:v>02</x:v>
      </x:c>
      <x:c r="G43" s="122"/>
      <x:c r="H43" s="122"/>
      <x:c r="I43" s="122" t="str">
        <x:v>振る舞い図</x:v>
      </x:c>
      <x:c r="J43" s="122"/>
      <x:c r="K43" s="122"/>
      <x:c r="L43" s="122"/>
      <x:c r="M43" s="122"/>
      <x:c r="N43" s="122"/>
      <x:c r="O43" s="122"/>
      <x:c r="P43" s="122"/>
      <x:c r="Q43" s="122"/>
      <x:c r="R43" s="122"/>
      <x:c r="S43" s="122"/>
      <x:c r="T43" s="122"/>
      <x:c r="U43" s="122"/>
      <x:c r="V43" s="122"/>
      <x:c r="W43" s="122" t="str">
        <x:v>申請状態とイベント／ガード条件</x:v>
      </x:c>
      <x:c r="X43" s="122"/>
      <x:c r="Y43" s="122"/>
      <x:c r="Z43" s="122"/>
      <x:c r="AA43" s="122"/>
      <x:c r="AB43" s="122"/>
      <x:c r="AC43" s="122"/>
      <x:c r="AD43" s="122"/>
      <x:c r="AE43" s="122"/>
      <x:c r="AF43" s="122"/>
      <x:c r="AG43" s="122"/>
      <x:c r="AH43" s="122"/>
      <x:c r="AI43" s="122"/>
      <x:c r="AJ43" s="122"/>
      <x:c r="AK43" s="122"/>
      <x:c r="AL43" s="122"/>
      <x:c r="AM43" s="122"/>
      <x:c r="AN43" s="122"/>
      <x:c r="AO43" s="122"/>
      <x:c r="AP43" s="122"/>
      <x:c r="AQ43" s="122"/>
      <x:c r="AR43" s="122"/>
      <x:c r="AS43" s="122"/>
      <x:c r="AT43" s="2"/>
      <x:c r="AU43" s="2"/>
      <x:c r="AV43" s="2"/>
      <x:c r="AW43" s="2"/>
      <x:c r="AX43" s="2"/>
      <x:c r="AY43" s="2"/>
      <x:c r="AZ43" s="2"/>
    </x:row>
    <x:row r="44" ht="13.5" customHeight="1">
      <x:c r="A44" s="2"/>
      <x:c r="B44" s="2"/>
      <x:c r="C44" s="2"/>
      <x:c r="D44" s="2"/>
      <x:c r="E44" s="2"/>
      <x:c r="F44" s="122" t="str">
        <x:v>03</x:v>
      </x:c>
      <x:c r="G44" s="122"/>
      <x:c r="H44" s="122"/>
      <x:c r="I44" s="122" t="str">
        <x:v>シーケンス図</x:v>
      </x:c>
      <x:c r="J44" s="122"/>
      <x:c r="K44" s="122"/>
      <x:c r="L44" s="122"/>
      <x:c r="M44" s="122"/>
      <x:c r="N44" s="122"/>
      <x:c r="O44" s="122"/>
      <x:c r="P44" s="122"/>
      <x:c r="Q44" s="122"/>
      <x:c r="R44" s="122"/>
      <x:c r="S44" s="122"/>
      <x:c r="T44" s="122"/>
      <x:c r="U44" s="122"/>
      <x:c r="V44" s="122"/>
      <x:c r="W44" s="122" t="str">
        <x:v>申請提出時の同期・非同期連携</x:v>
      </x:c>
      <x:c r="X44" s="122"/>
      <x:c r="Y44" s="122"/>
      <x:c r="Z44" s="122"/>
      <x:c r="AA44" s="122"/>
      <x:c r="AB44" s="122"/>
      <x:c r="AC44" s="122"/>
      <x:c r="AD44" s="122"/>
      <x:c r="AE44" s="122"/>
      <x:c r="AF44" s="122"/>
      <x:c r="AG44" s="122"/>
      <x:c r="AH44" s="122"/>
      <x:c r="AI44" s="122"/>
      <x:c r="AJ44" s="122"/>
      <x:c r="AK44" s="122"/>
      <x:c r="AL44" s="122"/>
      <x:c r="AM44" s="122"/>
      <x:c r="AN44" s="122"/>
      <x:c r="AO44" s="122"/>
      <x:c r="AP44" s="122"/>
      <x:c r="AQ44" s="122"/>
      <x:c r="AR44" s="122"/>
      <x:c r="AS44" s="122"/>
      <x:c r="AT44" s="2"/>
      <x:c r="AU44" s="2"/>
      <x:c r="AV44" s="2"/>
      <x:c r="AW44" s="2"/>
      <x:c r="AX44" s="2"/>
      <x:c r="AY44" s="2"/>
      <x:c r="AZ44" s="2"/>
    </x:row>
    <x:row r="45" ht="13.5" customHeight="1">
      <x:c r="A45" s="2"/>
      <x:c r="B45" s="2"/>
      <x:c r="C45" s="2"/>
      <x:c r="D45" s="2"/>
      <x:c r="E45" s="2"/>
      <x:c r="F45" s="122" t="str">
        <x:v>04</x:v>
      </x:c>
      <x:c r="G45" s="122"/>
      <x:c r="H45" s="122"/>
      <x:c r="I45" s="122" t="str">
        <x:v>業務フロー</x:v>
      </x:c>
      <x:c r="J45" s="122"/>
      <x:c r="K45" s="122"/>
      <x:c r="L45" s="122"/>
      <x:c r="M45" s="122"/>
      <x:c r="N45" s="122"/>
      <x:c r="O45" s="122"/>
      <x:c r="P45" s="122"/>
      <x:c r="Q45" s="122"/>
      <x:c r="R45" s="122"/>
      <x:c r="S45" s="122"/>
      <x:c r="T45" s="122"/>
      <x:c r="U45" s="122"/>
      <x:c r="V45" s="122"/>
      <x:c r="W45" s="122" t="str">
        <x:v>申請から支払までのスイムレーン</x:v>
      </x:c>
      <x:c r="X45" s="122"/>
      <x:c r="Y45" s="122"/>
      <x:c r="Z45" s="122"/>
      <x:c r="AA45" s="122"/>
      <x:c r="AB45" s="122"/>
      <x:c r="AC45" s="122"/>
      <x:c r="AD45" s="122"/>
      <x:c r="AE45" s="122"/>
      <x:c r="AF45" s="122"/>
      <x:c r="AG45" s="122"/>
      <x:c r="AH45" s="122"/>
      <x:c r="AI45" s="122"/>
      <x:c r="AJ45" s="122"/>
      <x:c r="AK45" s="122"/>
      <x:c r="AL45" s="122"/>
      <x:c r="AM45" s="122"/>
      <x:c r="AN45" s="122"/>
      <x:c r="AO45" s="122"/>
      <x:c r="AP45" s="122"/>
      <x:c r="AQ45" s="122"/>
      <x:c r="AR45" s="122"/>
      <x:c r="AS45" s="122"/>
      <x:c r="AT45" s="2"/>
      <x:c r="AU45" s="2"/>
      <x:c r="AV45" s="2"/>
      <x:c r="AW45" s="2"/>
      <x:c r="AX45" s="2"/>
      <x:c r="AY45" s="2"/>
      <x:c r="AZ45" s="2"/>
    </x:row>
    <x:row r="46" ht="13.5" customHeight="1">
      <x:c r="A46" s="2"/>
      <x:c r="B46" s="2"/>
      <x:c r="C46" s="2"/>
      <x:c r="D46" s="2"/>
      <x:c r="E46" s="2"/>
      <x:c r="F46" s="122" t="str">
        <x:v>05</x:v>
      </x:c>
      <x:c r="G46" s="122"/>
      <x:c r="H46" s="122"/>
      <x:c r="I46" s="122" t="str">
        <x:v>画面・入力仕様</x:v>
      </x:c>
      <x:c r="J46" s="122"/>
      <x:c r="K46" s="122"/>
      <x:c r="L46" s="122"/>
      <x:c r="M46" s="122"/>
      <x:c r="N46" s="122"/>
      <x:c r="O46" s="122"/>
      <x:c r="P46" s="122"/>
      <x:c r="Q46" s="122"/>
      <x:c r="R46" s="122"/>
      <x:c r="S46" s="122"/>
      <x:c r="T46" s="122"/>
      <x:c r="U46" s="122"/>
      <x:c r="V46" s="122"/>
      <x:c r="W46" s="122" t="str">
        <x:v>入力項目・検証ルール・試験入力</x:v>
      </x:c>
      <x:c r="X46" s="122"/>
      <x:c r="Y46" s="122"/>
      <x:c r="Z46" s="122"/>
      <x:c r="AA46" s="122"/>
      <x:c r="AB46" s="122"/>
      <x:c r="AC46" s="122"/>
      <x:c r="AD46" s="122"/>
      <x:c r="AE46" s="122"/>
      <x:c r="AF46" s="122"/>
      <x:c r="AG46" s="122"/>
      <x:c r="AH46" s="122"/>
      <x:c r="AI46" s="122"/>
      <x:c r="AJ46" s="122"/>
      <x:c r="AK46" s="122"/>
      <x:c r="AL46" s="122"/>
      <x:c r="AM46" s="122"/>
      <x:c r="AN46" s="122"/>
      <x:c r="AO46" s="122"/>
      <x:c r="AP46" s="122"/>
      <x:c r="AQ46" s="122"/>
      <x:c r="AR46" s="122"/>
      <x:c r="AS46" s="122"/>
      <x:c r="AT46" s="2"/>
      <x:c r="AU46" s="2"/>
      <x:c r="AV46" s="2"/>
      <x:c r="AW46" s="2"/>
      <x:c r="AX46" s="2"/>
      <x:c r="AY46" s="2"/>
      <x:c r="AZ46" s="2"/>
    </x:row>
    <x:row r="47" ht="13.5" customHeight="1">
      <x:c r="A47" s="2"/>
      <x:c r="B47" s="2"/>
      <x:c r="C47" s="2"/>
      <x:c r="D47" s="2"/>
      <x:c r="E47" s="2"/>
      <x:c r="F47" s="122" t="str">
        <x:v>06</x:v>
      </x:c>
      <x:c r="G47" s="122"/>
      <x:c r="H47" s="122"/>
      <x:c r="I47" s="122" t="str">
        <x:v>API・データ</x:v>
      </x:c>
      <x:c r="J47" s="122"/>
      <x:c r="K47" s="122"/>
      <x:c r="L47" s="122"/>
      <x:c r="M47" s="122"/>
      <x:c r="N47" s="122"/>
      <x:c r="O47" s="122"/>
      <x:c r="P47" s="122"/>
      <x:c r="Q47" s="122"/>
      <x:c r="R47" s="122"/>
      <x:c r="S47" s="122"/>
      <x:c r="T47" s="122"/>
      <x:c r="U47" s="122"/>
      <x:c r="V47" s="122"/>
      <x:c r="W47" s="122" t="str">
        <x:v>API I/F、主要テーブル、状態コード</x:v>
      </x:c>
      <x:c r="X47" s="122"/>
      <x:c r="Y47" s="122"/>
      <x:c r="Z47" s="122"/>
      <x:c r="AA47" s="122"/>
      <x:c r="AB47" s="122"/>
      <x:c r="AC47" s="122"/>
      <x:c r="AD47" s="122"/>
      <x:c r="AE47" s="122"/>
      <x:c r="AF47" s="122"/>
      <x:c r="AG47" s="122"/>
      <x:c r="AH47" s="122"/>
      <x:c r="AI47" s="122"/>
      <x:c r="AJ47" s="122"/>
      <x:c r="AK47" s="122"/>
      <x:c r="AL47" s="122"/>
      <x:c r="AM47" s="122"/>
      <x:c r="AN47" s="122"/>
      <x:c r="AO47" s="122"/>
      <x:c r="AP47" s="122"/>
      <x:c r="AQ47" s="122"/>
      <x:c r="AR47" s="122"/>
      <x:c r="AS47" s="122"/>
      <x:c r="AT47" s="2"/>
      <x:c r="AU47" s="2"/>
      <x:c r="AV47" s="2"/>
      <x:c r="AW47" s="2"/>
      <x:c r="AX47" s="2"/>
      <x:c r="AY47" s="2"/>
      <x:c r="AZ47" s="2"/>
    </x:row>
    <x:row r="48" ht="13.5" customHeight="1">
      <x:c r="A48" s="2"/>
      <x:c r="B48" s="2"/>
      <x:c r="C48" s="2"/>
      <x:c r="D48" s="2"/>
      <x:c r="E48" s="2"/>
      <x:c r="F48" s="122" t="str">
        <x:v>07</x:v>
      </x:c>
      <x:c r="G48" s="122"/>
      <x:c r="H48" s="122"/>
      <x:c r="I48" s="122" t="str">
        <x:v>テストシナリオ</x:v>
      </x:c>
      <x:c r="J48" s="122"/>
      <x:c r="K48" s="122"/>
      <x:c r="L48" s="122"/>
      <x:c r="M48" s="122"/>
      <x:c r="N48" s="122"/>
      <x:c r="O48" s="122"/>
      <x:c r="P48" s="122"/>
      <x:c r="Q48" s="122"/>
      <x:c r="R48" s="122"/>
      <x:c r="S48" s="122"/>
      <x:c r="T48" s="122"/>
      <x:c r="U48" s="122"/>
      <x:c r="V48" s="122"/>
      <x:c r="W48" s="122" t="str">
        <x:v>図面パスを網羅する検証ケース</x:v>
      </x:c>
      <x:c r="X48" s="122"/>
      <x:c r="Y48" s="122"/>
      <x:c r="Z48" s="122"/>
      <x:c r="AA48" s="122"/>
      <x:c r="AB48" s="122"/>
      <x:c r="AC48" s="122"/>
      <x:c r="AD48" s="122"/>
      <x:c r="AE48" s="122"/>
      <x:c r="AF48" s="122"/>
      <x:c r="AG48" s="122"/>
      <x:c r="AH48" s="122"/>
      <x:c r="AI48" s="122"/>
      <x:c r="AJ48" s="122"/>
      <x:c r="AK48" s="122"/>
      <x:c r="AL48" s="122"/>
      <x:c r="AM48" s="122"/>
      <x:c r="AN48" s="122"/>
      <x:c r="AO48" s="122"/>
      <x:c r="AP48" s="122"/>
      <x:c r="AQ48" s="122"/>
      <x:c r="AR48" s="122"/>
      <x:c r="AS48" s="122"/>
      <x:c r="AT48" s="2"/>
      <x:c r="AU48" s="2"/>
      <x:c r="AV48" s="2"/>
      <x:c r="AW48" s="2"/>
      <x:c r="AX48" s="2"/>
      <x:c r="AY48" s="2"/>
      <x:c r="AZ48" s="2"/>
    </x:row>
    <x:row r="49" ht="13.5" customHeight="1">
      <x:c r="A49" s="2"/>
      <x:c r="B49" s="2"/>
      <x:c r="C49" s="2"/>
      <x:c r="D49" s="2"/>
      <x:c r="E49" s="2"/>
      <x:c r="F49" s="122" t="str">
        <x:v>08</x:v>
      </x:c>
      <x:c r="G49" s="122"/>
      <x:c r="H49" s="122"/>
      <x:c r="I49" s="122" t="str">
        <x:v>非機能・運用</x:v>
      </x:c>
      <x:c r="J49" s="122"/>
      <x:c r="K49" s="122"/>
      <x:c r="L49" s="122"/>
      <x:c r="M49" s="122"/>
      <x:c r="N49" s="122"/>
      <x:c r="O49" s="122"/>
      <x:c r="P49" s="122"/>
      <x:c r="Q49" s="122"/>
      <x:c r="R49" s="122"/>
      <x:c r="S49" s="122"/>
      <x:c r="T49" s="122"/>
      <x:c r="U49" s="122"/>
      <x:c r="V49" s="122"/>
      <x:c r="W49" s="122" t="str">
        <x:v>SLO・性能・監視・障害対応・未決事項</x:v>
      </x:c>
      <x:c r="X49" s="122"/>
      <x:c r="Y49" s="122"/>
      <x:c r="Z49" s="122"/>
      <x:c r="AA49" s="122"/>
      <x:c r="AB49" s="122"/>
      <x:c r="AC49" s="122"/>
      <x:c r="AD49" s="122"/>
      <x:c r="AE49" s="122"/>
      <x:c r="AF49" s="122"/>
      <x:c r="AG49" s="122"/>
      <x:c r="AH49" s="122"/>
      <x:c r="AI49" s="122"/>
      <x:c r="AJ49" s="122"/>
      <x:c r="AK49" s="122"/>
      <x:c r="AL49" s="122"/>
      <x:c r="AM49" s="122"/>
      <x:c r="AN49" s="122"/>
      <x:c r="AO49" s="122"/>
      <x:c r="AP49" s="122"/>
      <x:c r="AQ49" s="122"/>
      <x:c r="AR49" s="122"/>
      <x:c r="AS49" s="122"/>
      <x:c r="AT49" s="2"/>
      <x:c r="AU49" s="2"/>
      <x:c r="AV49" s="2"/>
      <x:c r="AW49" s="2"/>
      <x:c r="AX49" s="2"/>
      <x:c r="AY49" s="2"/>
      <x:c r="AZ49" s="2"/>
    </x:row>
    <x:row r="50" ht="13.5" customHeight="1">
      <x:c r="A50" s="2"/>
      <x:c r="B50" s="2"/>
      <x:c r="C50" s="2"/>
      <x:c r="D50" s="2"/>
      <x:c r="E50" s="2"/>
      <x:c r="F50" s="122" t="str">
        <x:v>99</x:v>
      </x:c>
      <x:c r="G50" s="122"/>
      <x:c r="H50" s="122"/>
      <x:c r="I50" s="122" t="str">
        <x:v>凡例・参考</x:v>
      </x:c>
      <x:c r="J50" s="122"/>
      <x:c r="K50" s="122"/>
      <x:c r="L50" s="122"/>
      <x:c r="M50" s="122"/>
      <x:c r="N50" s="122"/>
      <x:c r="O50" s="122"/>
      <x:c r="P50" s="122"/>
      <x:c r="Q50" s="122"/>
      <x:c r="R50" s="122"/>
      <x:c r="S50" s="122"/>
      <x:c r="T50" s="122"/>
      <x:c r="U50" s="122"/>
      <x:c r="V50" s="122"/>
      <x:c r="W50" s="122" t="str">
        <x:v>図形の意味と調査出典</x:v>
      </x:c>
      <x:c r="X50" s="122"/>
      <x:c r="Y50" s="122"/>
      <x:c r="Z50" s="122"/>
      <x:c r="AA50" s="122"/>
      <x:c r="AB50" s="122"/>
      <x:c r="AC50" s="122"/>
      <x:c r="AD50" s="122"/>
      <x:c r="AE50" s="122"/>
      <x:c r="AF50" s="122"/>
      <x:c r="AG50" s="122"/>
      <x:c r="AH50" s="122"/>
      <x:c r="AI50" s="122"/>
      <x:c r="AJ50" s="122"/>
      <x:c r="AK50" s="122"/>
      <x:c r="AL50" s="122"/>
      <x:c r="AM50" s="122"/>
      <x:c r="AN50" s="122"/>
      <x:c r="AO50" s="122"/>
      <x:c r="AP50" s="122"/>
      <x:c r="AQ50" s="122"/>
      <x:c r="AR50" s="122"/>
      <x:c r="AS50" s="122"/>
      <x:c r="AT50" s="2"/>
      <x:c r="AU50" s="2"/>
      <x:c r="AV50" s="2"/>
      <x:c r="AW50" s="2"/>
      <x:c r="AX50" s="2"/>
      <x:c r="AY50" s="2"/>
      <x:c r="AZ50" s="2"/>
    </x:row>
    <x:row r="51" ht="13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 ht="13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 ht="13.5" customHeight="1">
      <x:c r="A53" s="2"/>
      <x:c r="B53" s="2"/>
      <x:c r="C53" s="2"/>
      <x:c r="D53" s="2"/>
      <x:c r="E53" s="77" t="str">
        <x:v>3. 改訂履歴</x:v>
      </x:c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78"/>
      <x:c r="U53" s="78"/>
      <x:c r="V53" s="78"/>
      <x:c r="W53" s="78"/>
      <x:c r="X53" s="78"/>
      <x:c r="Y53" s="78"/>
      <x:c r="Z53" s="78"/>
      <x:c r="AA53" s="78"/>
      <x:c r="AB53" s="78"/>
      <x:c r="AC53" s="78"/>
      <x:c r="AD53" s="78"/>
      <x:c r="AE53" s="78"/>
      <x:c r="AF53" s="78"/>
      <x:c r="AG53" s="78"/>
      <x:c r="AH53" s="78"/>
      <x:c r="AI53" s="78"/>
      <x:c r="AJ53" s="78"/>
      <x:c r="AK53" s="78"/>
      <x:c r="AL53" s="78"/>
      <x:c r="AM53" s="78"/>
      <x:c r="AN53" s="78"/>
      <x:c r="AO53" s="78"/>
      <x:c r="AP53" s="78"/>
      <x:c r="AQ53" s="78"/>
      <x:c r="AR53" s="78"/>
      <x:c r="AS53" s="78"/>
      <x:c r="AT53" s="78"/>
      <x:c r="AU53" s="78"/>
      <x:c r="AV53" s="79"/>
      <x:c r="AW53" s="2"/>
      <x:c r="AX53" s="2"/>
      <x:c r="AY53" s="2"/>
      <x:c r="AZ53" s="2"/>
    </x:row>
    <x:row r="54" ht="13.5" customHeight="1">
      <x:c r="A54" s="2"/>
      <x:c r="B54" s="2"/>
      <x:c r="C54" s="2"/>
      <x:c r="D54" s="2"/>
      <x:c r="E54" s="80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  <x:c r="AA54" s="81"/>
      <x:c r="AB54" s="81"/>
      <x:c r="AC54" s="81"/>
      <x:c r="AD54" s="81"/>
      <x:c r="AE54" s="81"/>
      <x:c r="AF54" s="81"/>
      <x:c r="AG54" s="81"/>
      <x:c r="AH54" s="81"/>
      <x:c r="AI54" s="81"/>
      <x:c r="AJ54" s="81"/>
      <x:c r="AK54" s="81"/>
      <x:c r="AL54" s="81"/>
      <x:c r="AM54" s="81"/>
      <x:c r="AN54" s="81"/>
      <x:c r="AO54" s="81"/>
      <x:c r="AP54" s="81"/>
      <x:c r="AQ54" s="81"/>
      <x:c r="AR54" s="81"/>
      <x:c r="AS54" s="81"/>
      <x:c r="AT54" s="81"/>
      <x:c r="AU54" s="81"/>
      <x:c r="AV54" s="82"/>
      <x:c r="AW54" s="2"/>
      <x:c r="AX54" s="2"/>
      <x:c r="AY54" s="2"/>
      <x:c r="AZ54" s="2"/>
    </x:row>
    <x:row r="55" ht="13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 ht="13.5" customHeight="1">
      <x:c r="A56" s="2"/>
      <x:c r="B56" s="2"/>
      <x:c r="C56" s="2"/>
      <x:c r="D56" s="2"/>
      <x:c r="E56" s="2"/>
      <x:c r="F56" s="127" t="str">
        <x:v>版</x:v>
      </x:c>
      <x:c r="G56" s="127"/>
      <x:c r="H56" s="127"/>
      <x:c r="I56" s="127"/>
      <x:c r="J56" s="127" t="str">
        <x:v>日付</x:v>
      </x:c>
      <x:c r="K56" s="127"/>
      <x:c r="L56" s="127"/>
      <x:c r="M56" s="127"/>
      <x:c r="N56" s="127"/>
      <x:c r="O56" s="127"/>
      <x:c r="P56" s="127"/>
      <x:c r="Q56" s="127"/>
      <x:c r="R56" s="127" t="str">
        <x:v>変更内容</x:v>
      </x:c>
      <x:c r="S56" s="127"/>
      <x:c r="T56" s="127"/>
      <x:c r="U56" s="127"/>
      <x:c r="V56" s="127"/>
      <x:c r="W56" s="127"/>
      <x:c r="X56" s="127"/>
      <x:c r="Y56" s="127"/>
      <x:c r="Z56" s="127"/>
      <x:c r="AA56" s="127"/>
      <x:c r="AB56" s="127"/>
      <x:c r="AC56" s="127"/>
      <x:c r="AD56" s="127"/>
      <x:c r="AE56" s="127"/>
      <x:c r="AF56" s="127"/>
      <x:c r="AG56" s="127"/>
      <x:c r="AH56" s="127"/>
      <x:c r="AI56" s="127"/>
      <x:c r="AJ56" s="127"/>
      <x:c r="AK56" s="127"/>
      <x:c r="AL56" s="127"/>
      <x:c r="AM56" s="127"/>
      <x:c r="AN56" s="127" t="str">
        <x:v>作成者</x:v>
      </x:c>
      <x:c r="AO56" s="127"/>
      <x:c r="AP56" s="127"/>
      <x:c r="AQ56" s="127"/>
      <x:c r="AR56" s="127"/>
      <x:c r="AS56" s="127"/>
      <x:c r="AT56" s="2"/>
      <x:c r="AU56" s="2"/>
      <x:c r="AV56" s="2"/>
      <x:c r="AW56" s="2"/>
      <x:c r="AX56" s="2"/>
      <x:c r="AY56" s="2"/>
      <x:c r="AZ56" s="2"/>
    </x:row>
    <x:row r="57" ht="13.5" customHeight="1">
      <x:c r="A57" s="2"/>
      <x:c r="B57" s="2"/>
      <x:c r="C57" s="2"/>
      <x:c r="D57" s="2"/>
      <x:c r="E57" s="2"/>
      <x:c r="F57" s="122" t="str">
        <x:v>0.1</x:v>
      </x:c>
      <x:c r="G57" s="122"/>
      <x:c r="H57" s="122"/>
      <x:c r="I57" s="122"/>
      <x:c r="J57" s="122" t="str">
        <x:v>2026-08-23</x:v>
      </x:c>
      <x:c r="K57" s="122"/>
      <x:c r="L57" s="122"/>
      <x:c r="M57" s="122"/>
      <x:c r="N57" s="122"/>
      <x:c r="O57" s="122"/>
      <x:c r="P57" s="122"/>
      <x:c r="Q57" s="122"/>
      <x:c r="R57" s="122" t="str">
        <x:v>初版ドラフト作成</x:v>
      </x:c>
      <x:c r="S57" s="122"/>
      <x:c r="T57" s="122"/>
      <x:c r="U57" s="122"/>
      <x:c r="V57" s="122"/>
      <x:c r="W57" s="122"/>
      <x:c r="X57" s="122"/>
      <x:c r="Y57" s="122"/>
      <x:c r="Z57" s="122"/>
      <x:c r="AA57" s="122"/>
      <x:c r="AB57" s="122"/>
      <x:c r="AC57" s="122"/>
      <x:c r="AD57" s="122"/>
      <x:c r="AE57" s="122"/>
      <x:c r="AF57" s="122"/>
      <x:c r="AG57" s="122"/>
      <x:c r="AH57" s="122"/>
      <x:c r="AI57" s="122"/>
      <x:c r="AJ57" s="122"/>
      <x:c r="AK57" s="122"/>
      <x:c r="AL57" s="122"/>
      <x:c r="AM57" s="122"/>
      <x:c r="AN57" s="122" t="str">
        <x:v>Codex</x:v>
      </x:c>
      <x:c r="AO57" s="122"/>
      <x:c r="AP57" s="122"/>
      <x:c r="AQ57" s="122"/>
      <x:c r="AR57" s="122"/>
      <x:c r="AS57" s="122"/>
      <x:c r="AT57" s="2"/>
      <x:c r="AU57" s="2"/>
      <x:c r="AV57" s="2"/>
      <x:c r="AW57" s="2"/>
      <x:c r="AX57" s="2"/>
      <x:c r="AY57" s="2"/>
      <x:c r="AZ57" s="2"/>
    </x:row>
    <x:row r="58" ht="13.5" customHeight="1">
      <x:c r="A58" s="2"/>
      <x:c r="B58" s="2"/>
      <x:c r="C58" s="2"/>
      <x:c r="D58" s="2"/>
      <x:c r="E58" s="2"/>
      <x:c r="F58" s="122" t="str">
        <x:v>1.0</x:v>
      </x:c>
      <x:c r="G58" s="122"/>
      <x:c r="H58" s="122"/>
      <x:c r="I58" s="122"/>
      <x:c r="J58" s="122" t="str">
        <x:v>2026-08-23</x:v>
      </x:c>
      <x:c r="K58" s="122"/>
      <x:c r="L58" s="122"/>
      <x:c r="M58" s="122"/>
      <x:c r="N58" s="122"/>
      <x:c r="O58" s="122"/>
      <x:c r="P58" s="122"/>
      <x:c r="Q58" s="122"/>
      <x:c r="R58" s="122" t="str">
        <x:v>図形・相互参照・検証用入力を整備</x:v>
      </x:c>
      <x:c r="S58" s="122"/>
      <x:c r="T58" s="122"/>
      <x:c r="U58" s="122"/>
      <x:c r="V58" s="122"/>
      <x:c r="W58" s="122"/>
      <x:c r="X58" s="122"/>
      <x:c r="Y58" s="122"/>
      <x:c r="Z58" s="122"/>
      <x:c r="AA58" s="122"/>
      <x:c r="AB58" s="122"/>
      <x:c r="AC58" s="122"/>
      <x:c r="AD58" s="122"/>
      <x:c r="AE58" s="122"/>
      <x:c r="AF58" s="122"/>
      <x:c r="AG58" s="122"/>
      <x:c r="AH58" s="122"/>
      <x:c r="AI58" s="122"/>
      <x:c r="AJ58" s="122"/>
      <x:c r="AK58" s="122"/>
      <x:c r="AL58" s="122"/>
      <x:c r="AM58" s="122"/>
      <x:c r="AN58" s="122" t="str">
        <x:v>Codex</x:v>
      </x:c>
      <x:c r="AO58" s="122"/>
      <x:c r="AP58" s="122"/>
      <x:c r="AQ58" s="122"/>
      <x:c r="AR58" s="122"/>
      <x:c r="AS58" s="122"/>
      <x:c r="AT58" s="2"/>
      <x:c r="AU58" s="2"/>
      <x:c r="AV58" s="2"/>
      <x:c r="AW58" s="2"/>
      <x:c r="AX58" s="2"/>
      <x:c r="AY58" s="2"/>
      <x:c r="AZ58" s="2"/>
    </x:row>
    <x:row r="59" ht="13.5" customHeight="1">
      <x:c r="A59" s="2"/>
      <x:c r="B59" s="2"/>
      <x:c r="C59" s="2"/>
      <x:c r="D59" s="2"/>
      <x:c r="E59" s="2"/>
      <x:c r="F59" s="122" t="str">
        <x:v>1.1</x:v>
      </x:c>
      <x:c r="G59" s="122"/>
      <x:c r="H59" s="122"/>
      <x:c r="I59" s="122"/>
      <x:c r="J59" s="122" t="str">
        <x:v>2026-08-23</x:v>
      </x:c>
      <x:c r="K59" s="122"/>
      <x:c r="L59" s="122"/>
      <x:c r="M59" s="122"/>
      <x:c r="N59" s="122"/>
      <x:c r="O59" s="122"/>
      <x:c r="P59" s="122"/>
      <x:c r="Q59" s="122"/>
      <x:c r="R59" s="122" t="str">
        <x:v>図形端点・ライフライン・折返し経路を精密化</x:v>
      </x:c>
      <x:c r="S59" s="122"/>
      <x:c r="T59" s="122"/>
      <x:c r="U59" s="122"/>
      <x:c r="V59" s="122"/>
      <x:c r="W59" s="122"/>
      <x:c r="X59" s="122"/>
      <x:c r="Y59" s="122"/>
      <x:c r="Z59" s="122"/>
      <x:c r="AA59" s="122"/>
      <x:c r="AB59" s="122"/>
      <x:c r="AC59" s="122"/>
      <x:c r="AD59" s="122"/>
      <x:c r="AE59" s="122"/>
      <x:c r="AF59" s="122"/>
      <x:c r="AG59" s="122"/>
      <x:c r="AH59" s="122"/>
      <x:c r="AI59" s="122"/>
      <x:c r="AJ59" s="122"/>
      <x:c r="AK59" s="122"/>
      <x:c r="AL59" s="122"/>
      <x:c r="AM59" s="122"/>
      <x:c r="AN59" s="122" t="str">
        <x:v>Codex</x:v>
      </x:c>
      <x:c r="AO59" s="122"/>
      <x:c r="AP59" s="122"/>
      <x:c r="AQ59" s="122"/>
      <x:c r="AR59" s="122"/>
      <x:c r="AS59" s="122"/>
      <x:c r="AT59" s="2"/>
      <x:c r="AU59" s="2"/>
      <x:c r="AV59" s="2"/>
      <x:c r="AW59" s="2"/>
      <x:c r="AX59" s="2"/>
      <x:c r="AY59" s="2"/>
      <x:c r="AZ59" s="2"/>
    </x:row>
    <x:row r="60" ht="13.5" customHeight="1">
      <x:c r="A60" s="2"/>
      <x:c r="B60" s="2"/>
      <x:c r="C60" s="2"/>
      <x:c r="D60" s="2"/>
      <x:c r="E60" s="2"/>
      <x:c r="F60" s="122" t="str">
        <x:v>1.2</x:v>
      </x:c>
      <x:c r="G60" s="122"/>
      <x:c r="H60" s="122"/>
      <x:c r="I60" s="122"/>
      <x:c r="J60" s="122" t="str">
        <x:v>2026-08-23</x:v>
      </x:c>
      <x:c r="K60" s="122"/>
      <x:c r="L60" s="122"/>
      <x:c r="M60" s="122"/>
      <x:c r="N60" s="122"/>
      <x:c r="O60" s="122"/>
      <x:c r="P60" s="122"/>
      <x:c r="Q60" s="122"/>
      <x:c r="R60" s="122" t="str">
        <x:v>文書管理・Outbox・運用設計・追跡性を実案件相当に補強</x:v>
      </x:c>
      <x:c r="S60" s="122"/>
      <x:c r="T60" s="122"/>
      <x:c r="U60" s="122"/>
      <x:c r="V60" s="122"/>
      <x:c r="W60" s="122"/>
      <x:c r="X60" s="122"/>
      <x:c r="Y60" s="122"/>
      <x:c r="Z60" s="122"/>
      <x:c r="AA60" s="122"/>
      <x:c r="AB60" s="122"/>
      <x:c r="AC60" s="122"/>
      <x:c r="AD60" s="122"/>
      <x:c r="AE60" s="122"/>
      <x:c r="AF60" s="122"/>
      <x:c r="AG60" s="122"/>
      <x:c r="AH60" s="122"/>
      <x:c r="AI60" s="122"/>
      <x:c r="AJ60" s="122"/>
      <x:c r="AK60" s="122"/>
      <x:c r="AL60" s="122"/>
      <x:c r="AM60" s="122"/>
      <x:c r="AN60" s="122" t="str">
        <x:v>設計担当</x:v>
      </x:c>
      <x:c r="AO60" s="122"/>
      <x:c r="AP60" s="122"/>
      <x:c r="AQ60" s="122"/>
      <x:c r="AR60" s="122"/>
      <x:c r="AS60" s="122"/>
      <x:c r="AT60" s="2"/>
      <x:c r="AU60" s="2"/>
      <x:c r="AV60" s="2"/>
      <x:c r="AW60" s="2"/>
      <x:c r="AX60" s="2"/>
      <x:c r="AY60" s="2"/>
      <x:c r="AZ60" s="2"/>
    </x:row>
    <x:row r="61" ht="13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 ht="13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 ht="13.5" customHeight="1">
      <x:c r="A63" s="2"/>
      <x:c r="B63" s="2"/>
      <x:c r="C63" s="2"/>
      <x:c r="D63" s="2"/>
      <x:c r="E63" s="77" t="str">
        <x:v>4. レビュー・承認欄</x:v>
      </x:c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78"/>
      <x:c r="U63" s="78"/>
      <x:c r="V63" s="78"/>
      <x:c r="W63" s="78"/>
      <x:c r="X63" s="78"/>
      <x:c r="Y63" s="78"/>
      <x:c r="Z63" s="78"/>
      <x:c r="AA63" s="78"/>
      <x:c r="AB63" s="78"/>
      <x:c r="AC63" s="78"/>
      <x:c r="AD63" s="78"/>
      <x:c r="AE63" s="78"/>
      <x:c r="AF63" s="78"/>
      <x:c r="AG63" s="78"/>
      <x:c r="AH63" s="78"/>
      <x:c r="AI63" s="78"/>
      <x:c r="AJ63" s="78"/>
      <x:c r="AK63" s="78"/>
      <x:c r="AL63" s="78"/>
      <x:c r="AM63" s="78"/>
      <x:c r="AN63" s="78"/>
      <x:c r="AO63" s="78"/>
      <x:c r="AP63" s="78"/>
      <x:c r="AQ63" s="78"/>
      <x:c r="AR63" s="78"/>
      <x:c r="AS63" s="78"/>
      <x:c r="AT63" s="78"/>
      <x:c r="AU63" s="78"/>
      <x:c r="AV63" s="79"/>
      <x:c r="AW63" s="2"/>
      <x:c r="AX63" s="2"/>
      <x:c r="AY63" s="2"/>
      <x:c r="AZ63" s="2"/>
    </x:row>
    <x:row r="64" ht="13.5" customHeight="1">
      <x:c r="A64" s="2"/>
      <x:c r="B64" s="2"/>
      <x:c r="C64" s="2"/>
      <x:c r="D64" s="2"/>
      <x:c r="E64" s="80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  <x:c r="AA64" s="81"/>
      <x:c r="AB64" s="81"/>
      <x:c r="AC64" s="81"/>
      <x:c r="AD64" s="81"/>
      <x:c r="AE64" s="81"/>
      <x:c r="AF64" s="81"/>
      <x:c r="AG64" s="81"/>
      <x:c r="AH64" s="81"/>
      <x:c r="AI64" s="81"/>
      <x:c r="AJ64" s="81"/>
      <x:c r="AK64" s="81"/>
      <x:c r="AL64" s="81"/>
      <x:c r="AM64" s="81"/>
      <x:c r="AN64" s="81"/>
      <x:c r="AO64" s="81"/>
      <x:c r="AP64" s="81"/>
      <x:c r="AQ64" s="81"/>
      <x:c r="AR64" s="81"/>
      <x:c r="AS64" s="81"/>
      <x:c r="AT64" s="81"/>
      <x:c r="AU64" s="81"/>
      <x:c r="AV64" s="82"/>
      <x:c r="AW64" s="2"/>
      <x:c r="AX64" s="2"/>
      <x:c r="AY64" s="2"/>
      <x:c r="AZ64" s="2"/>
    </x:row>
    <x:row r="65" ht="13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 ht="13.5" customHeight="1">
      <x:c r="A66" s="2"/>
      <x:c r="B66" s="2"/>
      <x:c r="C66" s="2"/>
      <x:c r="D66" s="2"/>
      <x:c r="E66" s="2"/>
      <x:c r="F66" s="127" t="str">
        <x:v>区分</x:v>
      </x:c>
      <x:c r="G66" s="127"/>
      <x:c r="H66" s="127"/>
      <x:c r="I66" s="127"/>
      <x:c r="J66" s="127"/>
      <x:c r="K66" s="127"/>
      <x:c r="L66" s="127"/>
      <x:c r="M66" s="127"/>
      <x:c r="N66" s="127"/>
      <x:c r="O66" s="127"/>
      <x:c r="P66" s="127"/>
      <x:c r="Q66" s="127" t="str">
        <x:v>担当</x:v>
      </x:c>
      <x:c r="R66" s="127"/>
      <x:c r="S66" s="127"/>
      <x:c r="T66" s="127"/>
      <x:c r="U66" s="127"/>
      <x:c r="V66" s="127"/>
      <x:c r="W66" s="127"/>
      <x:c r="X66" s="127"/>
      <x:c r="Y66" s="127"/>
      <x:c r="Z66" s="127"/>
      <x:c r="AA66" s="127"/>
      <x:c r="AB66" s="127" t="str">
        <x:v>確認日</x:v>
      </x:c>
      <x:c r="AC66" s="127"/>
      <x:c r="AD66" s="127"/>
      <x:c r="AE66" s="127"/>
      <x:c r="AF66" s="127"/>
      <x:c r="AG66" s="127"/>
      <x:c r="AH66" s="127"/>
      <x:c r="AI66" s="127"/>
      <x:c r="AJ66" s="127"/>
      <x:c r="AK66" s="127"/>
      <x:c r="AL66" s="127"/>
      <x:c r="AM66" s="127" t="str">
        <x:v>結果</x:v>
      </x:c>
      <x:c r="AN66" s="127"/>
      <x:c r="AO66" s="127"/>
      <x:c r="AP66" s="127"/>
      <x:c r="AQ66" s="127"/>
      <x:c r="AR66" s="127"/>
      <x:c r="AS66" s="127"/>
      <x:c r="AT66" s="127"/>
      <x:c r="AU66" s="127"/>
      <x:c r="AV66" s="2"/>
      <x:c r="AW66" s="2"/>
      <x:c r="AX66" s="2"/>
      <x:c r="AY66" s="2"/>
      <x:c r="AZ66" s="2"/>
    </x:row>
    <x:row r="67" ht="13.5" customHeight="1">
      <x:c r="A67" s="2"/>
      <x:c r="B67" s="2"/>
      <x:c r="C67" s="2"/>
      <x:c r="D67" s="2"/>
      <x:c r="E67" s="2"/>
      <x:c r="F67" s="122" t="str">
        <x:v>作成</x:v>
      </x:c>
      <x:c r="G67" s="122"/>
      <x:c r="H67" s="122"/>
      <x:c r="I67" s="122"/>
      <x:c r="J67" s="122"/>
      <x:c r="K67" s="122"/>
      <x:c r="L67" s="122"/>
      <x:c r="M67" s="122"/>
      <x:c r="N67" s="122"/>
      <x:c r="O67" s="122"/>
      <x:c r="P67" s="122"/>
      <x:c r="Q67" s="122" t="str">
        <x:v>アプリ設計担当</x:v>
      </x:c>
      <x:c r="R67" s="122"/>
      <x:c r="S67" s="122"/>
      <x:c r="T67" s="122"/>
      <x:c r="U67" s="122"/>
      <x:c r="V67" s="122"/>
      <x:c r="W67" s="122"/>
      <x:c r="X67" s="122"/>
      <x:c r="Y67" s="122"/>
      <x:c r="Z67" s="122"/>
      <x:c r="AA67" s="122"/>
      <x:c r="AB67" s="122" t="str">
        <x:v>2026-08-23</x:v>
      </x:c>
      <x:c r="AC67" s="122"/>
      <x:c r="AD67" s="122"/>
      <x:c r="AE67" s="122"/>
      <x:c r="AF67" s="122"/>
      <x:c r="AG67" s="122"/>
      <x:c r="AH67" s="122"/>
      <x:c r="AI67" s="122"/>
      <x:c r="AJ67" s="122"/>
      <x:c r="AK67" s="122"/>
      <x:c r="AL67" s="122"/>
      <x:c r="AM67" s="122" t="str">
        <x:v>完了</x:v>
      </x:c>
      <x:c r="AN67" s="122"/>
      <x:c r="AO67" s="122"/>
      <x:c r="AP67" s="122"/>
      <x:c r="AQ67" s="122"/>
      <x:c r="AR67" s="122"/>
      <x:c r="AS67" s="122"/>
      <x:c r="AT67" s="122"/>
      <x:c r="AU67" s="122"/>
      <x:c r="AV67" s="2"/>
      <x:c r="AW67" s="2"/>
      <x:c r="AX67" s="2"/>
      <x:c r="AY67" s="2"/>
      <x:c r="AZ67" s="2"/>
    </x:row>
    <x:row r="68" ht="13.5" customHeight="1">
      <x:c r="A68" s="2"/>
      <x:c r="B68" s="2"/>
      <x:c r="C68" s="2"/>
      <x:c r="D68" s="2"/>
      <x:c r="E68" s="2"/>
      <x:c r="F68" s="122"/>
      <x:c r="G68" s="122"/>
      <x:c r="H68" s="122"/>
      <x:c r="I68" s="122"/>
      <x:c r="J68" s="122"/>
      <x:c r="K68" s="122"/>
      <x:c r="L68" s="122"/>
      <x:c r="M68" s="122"/>
      <x:c r="N68" s="122"/>
      <x:c r="O68" s="122"/>
      <x:c r="P68" s="122"/>
      <x:c r="Q68" s="122"/>
      <x:c r="R68" s="122"/>
      <x:c r="S68" s="122"/>
      <x:c r="T68" s="122"/>
      <x:c r="U68" s="122"/>
      <x:c r="V68" s="122"/>
      <x:c r="W68" s="122"/>
      <x:c r="X68" s="122"/>
      <x:c r="Y68" s="122"/>
      <x:c r="Z68" s="122"/>
      <x:c r="AA68" s="122"/>
      <x:c r="AB68" s="122"/>
      <x:c r="AC68" s="122"/>
      <x:c r="AD68" s="122"/>
      <x:c r="AE68" s="122"/>
      <x:c r="AF68" s="122"/>
      <x:c r="AG68" s="122"/>
      <x:c r="AH68" s="122"/>
      <x:c r="AI68" s="122"/>
      <x:c r="AJ68" s="122"/>
      <x:c r="AK68" s="122"/>
      <x:c r="AL68" s="122"/>
      <x:c r="AM68" s="122"/>
      <x:c r="AN68" s="122"/>
      <x:c r="AO68" s="122"/>
      <x:c r="AP68" s="122"/>
      <x:c r="AQ68" s="122"/>
      <x:c r="AR68" s="122"/>
      <x:c r="AS68" s="122"/>
      <x:c r="AT68" s="122"/>
      <x:c r="AU68" s="122"/>
      <x:c r="AV68" s="2"/>
      <x:c r="AW68" s="2"/>
      <x:c r="AX68" s="2"/>
      <x:c r="AY68" s="2"/>
      <x:c r="AZ68" s="2"/>
    </x:row>
    <x:row r="69" ht="13.5" customHeight="1">
      <x:c r="A69" s="2"/>
      <x:c r="B69" s="2"/>
      <x:c r="C69" s="2"/>
      <x:c r="D69" s="2"/>
      <x:c r="E69" s="2"/>
      <x:c r="F69" s="122" t="str">
        <x:v>レビュー</x:v>
      </x:c>
      <x:c r="G69" s="122"/>
      <x:c r="H69" s="122"/>
      <x:c r="I69" s="122"/>
      <x:c r="J69" s="122"/>
      <x:c r="K69" s="122"/>
      <x:c r="L69" s="122"/>
      <x:c r="M69" s="122"/>
      <x:c r="N69" s="122"/>
      <x:c r="O69" s="122"/>
      <x:c r="P69" s="122"/>
      <x:c r="Q69" s="122" t="str">
        <x:v>業務／基盤担当</x:v>
      </x:c>
      <x:c r="R69" s="122"/>
      <x:c r="S69" s="122"/>
      <x:c r="T69" s="122"/>
      <x:c r="U69" s="122"/>
      <x:c r="V69" s="122"/>
      <x:c r="W69" s="122"/>
      <x:c r="X69" s="122"/>
      <x:c r="Y69" s="122"/>
      <x:c r="Z69" s="122"/>
      <x:c r="AA69" s="122"/>
      <x:c r="AB69" s="122" t="str">
        <x:v>2026-08-23</x:v>
      </x:c>
      <x:c r="AC69" s="122"/>
      <x:c r="AD69" s="122"/>
      <x:c r="AE69" s="122"/>
      <x:c r="AF69" s="122"/>
      <x:c r="AG69" s="122"/>
      <x:c r="AH69" s="122"/>
      <x:c r="AI69" s="122"/>
      <x:c r="AJ69" s="122"/>
      <x:c r="AK69" s="122"/>
      <x:c r="AL69" s="122"/>
      <x:c r="AM69" s="122" t="str">
        <x:v>条件付承認</x:v>
      </x:c>
      <x:c r="AN69" s="122"/>
      <x:c r="AO69" s="122"/>
      <x:c r="AP69" s="122"/>
      <x:c r="AQ69" s="122"/>
      <x:c r="AR69" s="122"/>
      <x:c r="AS69" s="122"/>
      <x:c r="AT69" s="122"/>
      <x:c r="AU69" s="122"/>
      <x:c r="AV69" s="2"/>
      <x:c r="AW69" s="2"/>
      <x:c r="AX69" s="2"/>
      <x:c r="AY69" s="2"/>
      <x:c r="AZ69" s="2"/>
    </x:row>
    <x:row r="70" ht="13.5" customHeight="1">
      <x:c r="A70" s="2"/>
      <x:c r="B70" s="2"/>
      <x:c r="C70" s="2"/>
      <x:c r="D70" s="2"/>
      <x:c r="E70" s="2"/>
      <x:c r="F70" s="122"/>
      <x:c r="G70" s="122"/>
      <x:c r="H70" s="122"/>
      <x:c r="I70" s="122"/>
      <x:c r="J70" s="122"/>
      <x:c r="K70" s="122"/>
      <x:c r="L70" s="122"/>
      <x:c r="M70" s="122"/>
      <x:c r="N70" s="122"/>
      <x:c r="O70" s="122"/>
      <x:c r="P70" s="122"/>
      <x:c r="Q70" s="122"/>
      <x:c r="R70" s="122"/>
      <x:c r="S70" s="122"/>
      <x:c r="T70" s="122"/>
      <x:c r="U70" s="122"/>
      <x:c r="V70" s="122"/>
      <x:c r="W70" s="122"/>
      <x:c r="X70" s="122"/>
      <x:c r="Y70" s="122"/>
      <x:c r="Z70" s="122"/>
      <x:c r="AA70" s="122"/>
      <x:c r="AB70" s="122"/>
      <x:c r="AC70" s="122"/>
      <x:c r="AD70" s="122"/>
      <x:c r="AE70" s="122"/>
      <x:c r="AF70" s="122"/>
      <x:c r="AG70" s="122"/>
      <x:c r="AH70" s="122"/>
      <x:c r="AI70" s="122"/>
      <x:c r="AJ70" s="122"/>
      <x:c r="AK70" s="122"/>
      <x:c r="AL70" s="122"/>
      <x:c r="AM70" s="122"/>
      <x:c r="AN70" s="122"/>
      <x:c r="AO70" s="122"/>
      <x:c r="AP70" s="122"/>
      <x:c r="AQ70" s="122"/>
      <x:c r="AR70" s="122"/>
      <x:c r="AS70" s="122"/>
      <x:c r="AT70" s="122"/>
      <x:c r="AU70" s="122"/>
      <x:c r="AV70" s="2"/>
      <x:c r="AW70" s="2"/>
      <x:c r="AX70" s="2"/>
      <x:c r="AY70" s="2"/>
      <x:c r="AZ70" s="2"/>
    </x:row>
    <x:row r="71" ht="13.5" customHeight="1">
      <x:c r="A71" s="2"/>
      <x:c r="B71" s="2"/>
      <x:c r="C71" s="2"/>
      <x:c r="D71" s="2"/>
      <x:c r="E71" s="2"/>
      <x:c r="F71" s="122" t="str">
        <x:v>承認</x:v>
      </x:c>
      <x:c r="G71" s="122"/>
      <x:c r="H71" s="122"/>
      <x:c r="I71" s="122"/>
      <x:c r="J71" s="122"/>
      <x:c r="K71" s="122"/>
      <x:c r="L71" s="122"/>
      <x:c r="M71" s="122"/>
      <x:c r="N71" s="122"/>
      <x:c r="O71" s="122"/>
      <x:c r="P71" s="122"/>
      <x:c r="Q71" s="122" t="str">
        <x:v>プロジェクト責任者</x:v>
      </x:c>
      <x:c r="R71" s="122"/>
      <x:c r="S71" s="122"/>
      <x:c r="T71" s="122"/>
      <x:c r="U71" s="122"/>
      <x:c r="V71" s="122"/>
      <x:c r="W71" s="122"/>
      <x:c r="X71" s="122"/>
      <x:c r="Y71" s="122"/>
      <x:c r="Z71" s="122"/>
      <x:c r="AA71" s="122"/>
      <x:c r="AB71" s="122" t="str">
        <x:v>—</x:v>
      </x:c>
      <x:c r="AC71" s="122"/>
      <x:c r="AD71" s="122"/>
      <x:c r="AE71" s="122"/>
      <x:c r="AF71" s="122"/>
      <x:c r="AG71" s="122"/>
      <x:c r="AH71" s="122"/>
      <x:c r="AI71" s="122"/>
      <x:c r="AJ71" s="122"/>
      <x:c r="AK71" s="122"/>
      <x:c r="AL71" s="122"/>
      <x:c r="AM71" s="122" t="str">
        <x:v>未承認</x:v>
      </x:c>
      <x:c r="AN71" s="122"/>
      <x:c r="AO71" s="122"/>
      <x:c r="AP71" s="122"/>
      <x:c r="AQ71" s="122"/>
      <x:c r="AR71" s="122"/>
      <x:c r="AS71" s="122"/>
      <x:c r="AT71" s="122"/>
      <x:c r="AU71" s="122"/>
      <x:c r="AV71" s="2"/>
      <x:c r="AW71" s="2"/>
      <x:c r="AX71" s="2"/>
      <x:c r="AY71" s="2"/>
      <x:c r="AZ71" s="2"/>
    </x:row>
    <x:row r="72" ht="13.5" customHeight="1">
      <x:c r="A72" s="2"/>
      <x:c r="B72" s="2"/>
      <x:c r="C72" s="2"/>
      <x:c r="D72" s="2"/>
      <x:c r="E72" s="2"/>
      <x:c r="F72" s="122"/>
      <x:c r="G72" s="122"/>
      <x:c r="H72" s="122"/>
      <x:c r="I72" s="122"/>
      <x:c r="J72" s="122"/>
      <x:c r="K72" s="122"/>
      <x:c r="L72" s="122"/>
      <x:c r="M72" s="122"/>
      <x:c r="N72" s="122"/>
      <x:c r="O72" s="122"/>
      <x:c r="P72" s="122"/>
      <x:c r="Q72" s="122"/>
      <x:c r="R72" s="122"/>
      <x:c r="S72" s="122"/>
      <x:c r="T72" s="122"/>
      <x:c r="U72" s="122"/>
      <x:c r="V72" s="122"/>
      <x:c r="W72" s="122"/>
      <x:c r="X72" s="122"/>
      <x:c r="Y72" s="122"/>
      <x:c r="Z72" s="122"/>
      <x:c r="AA72" s="122"/>
      <x:c r="AB72" s="122"/>
      <x:c r="AC72" s="122"/>
      <x:c r="AD72" s="122"/>
      <x:c r="AE72" s="122"/>
      <x:c r="AF72" s="122"/>
      <x:c r="AG72" s="122"/>
      <x:c r="AH72" s="122"/>
      <x:c r="AI72" s="122"/>
      <x:c r="AJ72" s="122"/>
      <x:c r="AK72" s="122"/>
      <x:c r="AL72" s="122"/>
      <x:c r="AM72" s="122"/>
      <x:c r="AN72" s="122"/>
      <x:c r="AO72" s="122"/>
      <x:c r="AP72" s="122"/>
      <x:c r="AQ72" s="122"/>
      <x:c r="AR72" s="122"/>
      <x:c r="AS72" s="122"/>
      <x:c r="AT72" s="122"/>
      <x:c r="AU72" s="122"/>
      <x:c r="AV72" s="2"/>
      <x:c r="AW72" s="2"/>
      <x:c r="AX72" s="2"/>
      <x:c r="AY72" s="2"/>
      <x:c r="AZ72" s="2"/>
    </x:row>
    <x:row r="73" ht="13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 ht="13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 ht="13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 ht="13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 ht="13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 ht="13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 ht="13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 ht="13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 ht="13.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 ht="13.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 ht="13.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 ht="13.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 ht="13.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 ht="13.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 ht="13.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 ht="13.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 ht="13.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 ht="13.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 ht="13.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 ht="13.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 ht="13.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 ht="13.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 ht="13.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 ht="13.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 ht="13.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 ht="13.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</x:sheetData>
  <x:mergeCells>
    <x:mergeCell ref="A1:AZ4"/>
    <x:mergeCell ref="E8:AV10"/>
    <x:mergeCell ref="G14:N16"/>
    <x:mergeCell ref="O14:AB16"/>
    <x:mergeCell ref="AC14:AI16"/>
    <x:mergeCell ref="AJ14:AT16"/>
    <x:mergeCell ref="G17:N19"/>
    <x:mergeCell ref="O17:AB19"/>
    <x:mergeCell ref="AC17:AI19"/>
    <x:mergeCell ref="AJ17:AT19"/>
    <x:mergeCell ref="G20:N22"/>
    <x:mergeCell ref="O20:AB22"/>
    <x:mergeCell ref="AC20:AI22"/>
    <x:mergeCell ref="AJ20:AT22"/>
    <x:mergeCell ref="G23:N25"/>
    <x:mergeCell ref="O23:AB25"/>
    <x:mergeCell ref="AC23:AI25"/>
    <x:mergeCell ref="AJ23:AT25"/>
    <x:mergeCell ref="E29:AV30"/>
    <x:mergeCell ref="E31:AV36"/>
    <x:mergeCell ref="E39:AV40"/>
    <x:mergeCell ref="F42:H42"/>
    <x:mergeCell ref="I42:V42"/>
    <x:mergeCell ref="W42:AS42"/>
    <x:mergeCell ref="F43:H43"/>
    <x:mergeCell ref="I43:V43"/>
    <x:mergeCell ref="W43:AS43"/>
    <x:mergeCell ref="F44:H44"/>
    <x:mergeCell ref="I44:V44"/>
    <x:mergeCell ref="W44:AS44"/>
    <x:mergeCell ref="F45:H45"/>
    <x:mergeCell ref="I45:V45"/>
    <x:mergeCell ref="W45:AS45"/>
    <x:mergeCell ref="F46:H46"/>
    <x:mergeCell ref="I46:V46"/>
    <x:mergeCell ref="W46:AS46"/>
    <x:mergeCell ref="F47:H47"/>
    <x:mergeCell ref="I47:V47"/>
    <x:mergeCell ref="W47:AS47"/>
    <x:mergeCell ref="F48:H48"/>
    <x:mergeCell ref="I48:V48"/>
    <x:mergeCell ref="W48:AS48"/>
    <x:mergeCell ref="F49:H49"/>
    <x:mergeCell ref="I49:V49"/>
    <x:mergeCell ref="W49:AS49"/>
    <x:mergeCell ref="F50:H50"/>
    <x:mergeCell ref="I50:V50"/>
    <x:mergeCell ref="W50:AS50"/>
    <x:mergeCell ref="E53:AV54"/>
    <x:mergeCell ref="F56:I56"/>
    <x:mergeCell ref="J56:Q56"/>
    <x:mergeCell ref="R56:AM56"/>
    <x:mergeCell ref="AN56:AS56"/>
    <x:mergeCell ref="F57:I57"/>
    <x:mergeCell ref="J57:Q57"/>
    <x:mergeCell ref="R57:AM57"/>
    <x:mergeCell ref="AN57:AS57"/>
    <x:mergeCell ref="F58:I58"/>
    <x:mergeCell ref="J58:Q58"/>
    <x:mergeCell ref="R58:AM58"/>
    <x:mergeCell ref="AN58:AS58"/>
    <x:mergeCell ref="F59:I59"/>
    <x:mergeCell ref="J59:Q59"/>
    <x:mergeCell ref="R59:AM59"/>
    <x:mergeCell ref="AN59:AS59"/>
    <x:mergeCell ref="F60:I60"/>
    <x:mergeCell ref="J60:Q60"/>
    <x:mergeCell ref="R60:AM60"/>
    <x:mergeCell ref="AN60:AS60"/>
    <x:mergeCell ref="E63:AV64"/>
    <x:mergeCell ref="F66:P66"/>
    <x:mergeCell ref="Q66:AA66"/>
    <x:mergeCell ref="AB66:AL66"/>
    <x:mergeCell ref="AM66:AU66"/>
    <x:mergeCell ref="F67:P68"/>
    <x:mergeCell ref="Q67:AA68"/>
    <x:mergeCell ref="AB67:AL68"/>
    <x:mergeCell ref="AM67:AU68"/>
    <x:mergeCell ref="F69:P70"/>
    <x:mergeCell ref="Q69:AA70"/>
    <x:mergeCell ref="AB69:AL70"/>
    <x:mergeCell ref="AM69:AU70"/>
    <x:mergeCell ref="F71:P72"/>
    <x:mergeCell ref="Q71:AA72"/>
    <x:mergeCell ref="AB71:AL72"/>
    <x:mergeCell ref="AM71:AU7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</x:cols>
  <x:sheetData>
    <x:row r="1" ht="13.5" customHeight="1">
      <x:c r="A1" s="131" t="str">
        <x:v>01 システム概要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  <x:c r="N1" s="131"/>
      <x:c r="O1" s="131"/>
      <x:c r="P1" s="131"/>
      <x:c r="Q1" s="131"/>
      <x:c r="R1" s="131"/>
      <x:c r="S1" s="131"/>
      <x:c r="T1" s="131"/>
      <x:c r="U1" s="131"/>
      <x:c r="V1" s="131"/>
      <x:c r="W1" s="131"/>
      <x:c r="X1" s="131"/>
      <x:c r="Y1" s="131"/>
      <x:c r="Z1" s="131"/>
      <x:c r="AA1" s="131"/>
      <x:c r="AB1" s="131"/>
      <x:c r="AC1" s="131"/>
      <x:c r="AD1" s="131"/>
      <x:c r="AE1" s="131"/>
      <x:c r="AF1" s="131"/>
      <x:c r="AG1" s="131"/>
      <x:c r="AH1" s="131"/>
      <x:c r="AI1" s="131"/>
      <x:c r="AJ1" s="131"/>
      <x:c r="AK1" s="131"/>
      <x:c r="AL1" s="131"/>
      <x:c r="AM1" s="131"/>
      <x:c r="AN1" s="131"/>
      <x:c r="AO1" s="131"/>
      <x:c r="AP1" s="131"/>
      <x:c r="AQ1" s="131"/>
      <x:c r="AR1" s="131"/>
      <x:c r="AS1" s="131"/>
      <x:c r="AT1" s="131"/>
      <x:c r="AU1" s="131"/>
      <x:c r="AV1" s="131"/>
      <x:c r="AW1" s="131"/>
      <x:c r="AX1" s="131"/>
      <x:c r="AY1" s="131"/>
      <x:c r="AZ1" s="131"/>
    </x:row>
    <x:row r="2" ht="13.5" customHeight="1">
      <x:c r="A2" s="131"/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  <x:c r="Q2" s="131"/>
      <x:c r="R2" s="131"/>
      <x:c r="S2" s="131"/>
      <x:c r="T2" s="131"/>
      <x:c r="U2" s="131"/>
      <x:c r="V2" s="131"/>
      <x:c r="W2" s="131"/>
      <x:c r="X2" s="131"/>
      <x:c r="Y2" s="131"/>
      <x:c r="Z2" s="131"/>
      <x:c r="AA2" s="131"/>
      <x:c r="AB2" s="131"/>
      <x:c r="AC2" s="131"/>
      <x:c r="AD2" s="131"/>
      <x:c r="AE2" s="131"/>
      <x:c r="AF2" s="131"/>
      <x:c r="AG2" s="131"/>
      <x:c r="AH2" s="131"/>
      <x:c r="AI2" s="131"/>
      <x:c r="AJ2" s="131"/>
      <x:c r="AK2" s="131"/>
      <x:c r="AL2" s="131"/>
      <x:c r="AM2" s="131"/>
      <x:c r="AN2" s="131"/>
      <x:c r="AO2" s="131"/>
      <x:c r="AP2" s="131"/>
      <x:c r="AQ2" s="131"/>
      <x:c r="AR2" s="131"/>
      <x:c r="AS2" s="131"/>
      <x:c r="AT2" s="131"/>
      <x:c r="AU2" s="131"/>
      <x:c r="AV2" s="131"/>
      <x:c r="AW2" s="131"/>
      <x:c r="AX2" s="131"/>
      <x:c r="AY2" s="131"/>
      <x:c r="AZ2" s="131"/>
    </x:row>
    <x:row r="3" ht="13.5" customHeight="1">
      <x:c r="A3" s="135" t="str">
        <x:v>対象：経費申請の登録、承認、会計連携、支払結果通知</x:v>
      </x:c>
      <x:c r="B3" s="135"/>
      <x:c r="C3" s="135"/>
      <x:c r="D3" s="135"/>
      <x:c r="E3" s="135"/>
      <x:c r="F3" s="135"/>
      <x:c r="G3" s="135"/>
      <x:c r="H3" s="135"/>
      <x:c r="I3" s="135"/>
      <x:c r="J3" s="135"/>
      <x:c r="K3" s="135"/>
      <x:c r="L3" s="135"/>
      <x:c r="M3" s="135"/>
      <x:c r="N3" s="135"/>
      <x:c r="O3" s="135"/>
      <x:c r="P3" s="135"/>
      <x:c r="Q3" s="135"/>
      <x:c r="R3" s="135"/>
      <x:c r="S3" s="135"/>
      <x:c r="T3" s="135"/>
      <x:c r="U3" s="135"/>
      <x:c r="V3" s="135"/>
      <x:c r="W3" s="135"/>
      <x:c r="X3" s="135"/>
      <x:c r="Y3" s="135"/>
      <x:c r="Z3" s="135"/>
      <x:c r="AA3" s="135"/>
      <x:c r="AB3" s="135"/>
      <x:c r="AC3" s="135"/>
      <x:c r="AD3" s="135"/>
      <x:c r="AE3" s="135"/>
      <x:c r="AF3" s="135"/>
      <x:c r="AG3" s="135"/>
      <x:c r="AH3" s="135"/>
      <x:c r="AI3" s="135"/>
      <x:c r="AJ3" s="135"/>
      <x:c r="AK3" s="135"/>
      <x:c r="AL3" s="135"/>
      <x:c r="AM3" s="135"/>
      <x:c r="AN3" s="135"/>
      <x:c r="AO3" s="135"/>
      <x:c r="AP3" s="135"/>
      <x:c r="AQ3" s="135"/>
      <x:c r="AR3" s="135"/>
      <x:c r="AS3" s="135"/>
      <x:c r="AT3" s="135"/>
      <x:c r="AU3" s="135"/>
      <x:c r="AV3" s="135"/>
      <x:c r="AW3" s="135"/>
      <x:c r="AX3" s="135"/>
      <x:c r="AY3" s="135"/>
      <x:c r="AZ3" s="135"/>
    </x:row>
    <x:row r="4" ht="13.5" customHeight="1">
      <x:c r="A4" s="140" t="str">
        <x:v>文書ID: EXPS-DES-01</x:v>
      </x:c>
      <x:c r="B4" s="140"/>
      <x:c r="C4" s="140"/>
      <x:c r="D4" s="140"/>
      <x:c r="E4" s="140"/>
      <x:c r="F4" s="140"/>
      <x:c r="G4" s="140"/>
      <x:c r="H4" s="140"/>
      <x:c r="I4" s="140"/>
      <x:c r="J4" s="140"/>
      <x:c r="K4" s="140"/>
      <x:c r="L4" s="140"/>
      <x:c r="M4" s="140" t="str">
        <x:v>版: 1.2</x:v>
      </x:c>
      <x:c r="N4" s="140"/>
      <x:c r="O4" s="140"/>
      <x:c r="P4" s="140"/>
      <x:c r="Q4" s="140"/>
      <x:c r="R4" s="140"/>
      <x:c r="S4" s="140" t="str">
        <x:v>状態: レビュー中</x:v>
      </x:c>
      <x:c r="T4" s="140"/>
      <x:c r="U4" s="140"/>
      <x:c r="V4" s="140"/>
      <x:c r="W4" s="140"/>
      <x:c r="X4" s="140"/>
      <x:c r="Y4" s="140"/>
      <x:c r="Z4" s="140"/>
      <x:c r="AA4" s="140"/>
      <x:c r="AB4" s="140"/>
      <x:c r="AC4" s="140"/>
      <x:c r="AD4" s="140"/>
      <x:c r="AE4" s="140"/>
      <x:c r="AF4" s="140" t="str">
        <x:v>主管: 業務システム部</x:v>
      </x:c>
      <x:c r="AG4" s="140"/>
      <x:c r="AH4" s="140"/>
      <x:c r="AI4" s="140"/>
      <x:c r="AJ4" s="140"/>
      <x:c r="AK4" s="140"/>
      <x:c r="AL4" s="140"/>
      <x:c r="AM4" s="140"/>
      <x:c r="AN4" s="140"/>
      <x:c r="AO4" s="140"/>
      <x:c r="AP4" s="140"/>
      <x:c r="AQ4" s="140"/>
      <x:c r="AR4" s="140" t="str">
        <x:v>更新: 2026-08-23</x:v>
      </x:c>
      <x:c r="AS4" s="140"/>
      <x:c r="AT4" s="140"/>
      <x:c r="AU4" s="140"/>
      <x:c r="AV4" s="140"/>
      <x:c r="AW4" s="140"/>
      <x:c r="AX4" s="140"/>
      <x:c r="AY4" s="140"/>
      <x:c r="AZ4" s="140"/>
    </x:row>
    <x:row r="5" ht="13.5" customHeight="1">
      <x:c r="A5" s="2"/>
      <x:c r="B5" s="77" t="str">
        <x:v>1.1 設計前提</x:v>
      </x:c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  <x:c r="AA5" s="78"/>
      <x:c r="AB5" s="78"/>
      <x:c r="AC5" s="78"/>
      <x:c r="AD5" s="78"/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9"/>
      <x:c r="AY5" s="2"/>
      <x:c r="AZ5" s="2"/>
    </x:row>
    <x:row r="6" ht="13.5" customHeight="1">
      <x:c r="A6" s="2"/>
      <x:c r="B6" s="80"/>
      <x:c r="C6" s="8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  <x:c r="AA6" s="81"/>
      <x:c r="AB6" s="81"/>
      <x:c r="AC6" s="81"/>
      <x:c r="AD6" s="81"/>
      <x:c r="AE6" s="81"/>
      <x:c r="AF6" s="81"/>
      <x:c r="AG6" s="81"/>
      <x:c r="AH6" s="81"/>
      <x:c r="AI6" s="81"/>
      <x:c r="AJ6" s="81"/>
      <x:c r="AK6" s="81"/>
      <x:c r="AL6" s="81"/>
      <x:c r="AM6" s="81"/>
      <x:c r="AN6" s="81"/>
      <x:c r="AO6" s="81"/>
      <x:c r="AP6" s="81"/>
      <x:c r="AQ6" s="81"/>
      <x:c r="AR6" s="81"/>
      <x:c r="AS6" s="81"/>
      <x:c r="AT6" s="81"/>
      <x:c r="AU6" s="81"/>
      <x:c r="AV6" s="81"/>
      <x:c r="AW6" s="81"/>
      <x:c r="AX6" s="82"/>
      <x:c r="AY6" s="2"/>
      <x:c r="AZ6" s="2"/>
    </x:row>
    <x:row r="7" ht="13.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13.5" customHeight="1">
      <x:c r="A8" s="2"/>
      <x:c r="B8" s="2"/>
      <x:c r="C8" s="50" t="str">
        <x:v>利用者</x:v>
      </x:c>
      <x:c r="D8" s="50"/>
      <x:c r="E8" s="50"/>
      <x:c r="F8" s="50"/>
      <x:c r="G8" s="50"/>
      <x:c r="H8" s="50"/>
      <x:c r="I8" s="50"/>
      <x:c r="J8" s="50"/>
      <x:c r="K8" s="50"/>
      <x:c r="L8" s="50"/>
      <x:c r="M8" s="56" t="str">
        <x:v>申請者、課長／部長承認者、経理担当者</x:v>
      </x:c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6"/>
      <x:c r="Y8" s="56"/>
      <x:c r="Z8" s="56"/>
      <x:c r="AA8" s="56"/>
      <x:c r="AB8" s="56"/>
      <x:c r="AC8" s="56"/>
      <x:c r="AD8" s="56"/>
      <x:c r="AE8" s="56"/>
      <x:c r="AF8" s="56"/>
      <x:c r="AG8" s="56"/>
      <x:c r="AH8" s="56"/>
      <x:c r="AI8" s="56"/>
      <x:c r="AJ8" s="56"/>
      <x:c r="AK8" s="56"/>
      <x:c r="AL8" s="56"/>
      <x:c r="AM8" s="56"/>
      <x:c r="AN8" s="56"/>
      <x:c r="AO8" s="56"/>
      <x:c r="AP8" s="56"/>
      <x:c r="AQ8" s="56"/>
      <x:c r="AR8" s="56"/>
      <x:c r="AS8" s="56"/>
      <x:c r="AT8" s="56"/>
      <x:c r="AU8" s="56"/>
      <x:c r="AV8" s="56"/>
      <x:c r="AW8" s="56"/>
      <x:c r="AX8" s="2"/>
      <x:c r="AY8" s="2"/>
      <x:c r="AZ8" s="2"/>
    </x:row>
    <x:row r="9" ht="13.5" customHeight="1">
      <x:c r="A9" s="2"/>
      <x:c r="B9" s="2"/>
      <x:c r="C9" s="50"/>
      <x:c r="D9" s="50"/>
      <x:c r="E9" s="50"/>
      <x:c r="F9" s="50"/>
      <x:c r="G9" s="50"/>
      <x:c r="H9" s="50"/>
      <x:c r="I9" s="50"/>
      <x:c r="J9" s="50"/>
      <x:c r="K9" s="50"/>
      <x:c r="L9" s="50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6"/>
      <x:c r="Y9" s="56"/>
      <x:c r="Z9" s="56"/>
      <x:c r="AA9" s="56"/>
      <x:c r="AB9" s="56"/>
      <x:c r="AC9" s="56"/>
      <x:c r="AD9" s="56"/>
      <x:c r="AE9" s="56"/>
      <x:c r="AF9" s="56"/>
      <x:c r="AG9" s="56"/>
      <x:c r="AH9" s="56"/>
      <x:c r="AI9" s="56"/>
      <x:c r="AJ9" s="56"/>
      <x:c r="AK9" s="56"/>
      <x:c r="AL9" s="56"/>
      <x:c r="AM9" s="56"/>
      <x:c r="AN9" s="56"/>
      <x:c r="AO9" s="56"/>
      <x:c r="AP9" s="56"/>
      <x:c r="AQ9" s="56"/>
      <x:c r="AR9" s="56"/>
      <x:c r="AS9" s="56"/>
      <x:c r="AT9" s="56"/>
      <x:c r="AU9" s="56"/>
      <x:c r="AV9" s="56"/>
      <x:c r="AW9" s="56"/>
      <x:c r="AX9" s="2"/>
      <x:c r="AY9" s="2"/>
      <x:c r="AZ9" s="2"/>
    </x:row>
    <x:row r="10" ht="13.5" customHeight="1">
      <x:c r="A10" s="2"/>
      <x:c r="B10" s="2"/>
      <x:c r="C10" s="50"/>
      <x:c r="D10" s="50"/>
      <x:c r="E10" s="50"/>
      <x:c r="F10" s="50"/>
      <x:c r="G10" s="50"/>
      <x:c r="H10" s="50"/>
      <x:c r="I10" s="50"/>
      <x:c r="J10" s="50"/>
      <x:c r="K10" s="50"/>
      <x:c r="L10" s="50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6"/>
      <x:c r="Y10" s="56"/>
      <x:c r="Z10" s="56"/>
      <x:c r="AA10" s="56"/>
      <x:c r="AB10" s="56"/>
      <x:c r="AC10" s="56"/>
      <x:c r="AD10" s="56"/>
      <x:c r="AE10" s="56"/>
      <x:c r="AF10" s="56"/>
      <x:c r="AG10" s="56"/>
      <x:c r="AH10" s="56"/>
      <x:c r="AI10" s="56"/>
      <x:c r="AJ10" s="56"/>
      <x:c r="AK10" s="56"/>
      <x:c r="AL10" s="56"/>
      <x:c r="AM10" s="56"/>
      <x:c r="AN10" s="56"/>
      <x:c r="AO10" s="56"/>
      <x:c r="AP10" s="56"/>
      <x:c r="AQ10" s="56"/>
      <x:c r="AR10" s="56"/>
      <x:c r="AS10" s="56"/>
      <x:c r="AT10" s="56"/>
      <x:c r="AU10" s="56"/>
      <x:c r="AV10" s="56"/>
      <x:c r="AW10" s="56"/>
      <x:c r="AX10" s="2"/>
      <x:c r="AY10" s="2"/>
      <x:c r="AZ10" s="2"/>
    </x:row>
    <x:row r="11" ht="13.5" customHeight="1">
      <x:c r="A11" s="2"/>
      <x:c r="B11" s="2"/>
      <x:c r="C11" s="50" t="str">
        <x:v>認証</x:v>
      </x:c>
      <x:c r="D11" s="50"/>
      <x:c r="E11" s="50"/>
      <x:c r="F11" s="50"/>
      <x:c r="G11" s="50"/>
      <x:c r="H11" s="50"/>
      <x:c r="I11" s="50"/>
      <x:c r="J11" s="50"/>
      <x:c r="K11" s="50"/>
      <x:c r="L11" s="50"/>
      <x:c r="M11" s="56" t="str">
        <x:v>OIDC／JWT。Web UIはアクセストークンをAPIへ送信</x:v>
      </x:c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  <x:c r="Z11" s="56"/>
      <x:c r="AA11" s="56"/>
      <x:c r="AB11" s="56"/>
      <x:c r="AC11" s="56"/>
      <x:c r="AD11" s="56"/>
      <x:c r="AE11" s="56"/>
      <x:c r="AF11" s="56"/>
      <x:c r="AG11" s="56"/>
      <x:c r="AH11" s="56"/>
      <x:c r="AI11" s="56"/>
      <x:c r="AJ11" s="56"/>
      <x:c r="AK11" s="56"/>
      <x:c r="AL11" s="56"/>
      <x:c r="AM11" s="56"/>
      <x:c r="AN11" s="56"/>
      <x:c r="AO11" s="56"/>
      <x:c r="AP11" s="56"/>
      <x:c r="AQ11" s="56"/>
      <x:c r="AR11" s="56"/>
      <x:c r="AS11" s="56"/>
      <x:c r="AT11" s="56"/>
      <x:c r="AU11" s="56"/>
      <x:c r="AV11" s="56"/>
      <x:c r="AW11" s="56"/>
      <x:c r="AX11" s="2"/>
      <x:c r="AY11" s="2"/>
      <x:c r="AZ11" s="2"/>
    </x:row>
    <x:row r="12" ht="13.5" customHeight="1">
      <x:c r="A12" s="2"/>
      <x:c r="B12" s="2"/>
      <x:c r="C12" s="50"/>
      <x:c r="D12" s="50"/>
      <x:c r="E12" s="50"/>
      <x:c r="F12" s="50"/>
      <x:c r="G12" s="50"/>
      <x:c r="H12" s="50"/>
      <x:c r="I12" s="50"/>
      <x:c r="J12" s="50"/>
      <x:c r="K12" s="50"/>
      <x:c r="L12" s="50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6"/>
      <x:c r="Y12" s="56"/>
      <x:c r="Z12" s="56"/>
      <x:c r="AA12" s="56"/>
      <x:c r="AB12" s="56"/>
      <x:c r="AC12" s="56"/>
      <x:c r="AD12" s="56"/>
      <x:c r="AE12" s="56"/>
      <x:c r="AF12" s="56"/>
      <x:c r="AG12" s="56"/>
      <x:c r="AH12" s="56"/>
      <x:c r="AI12" s="56"/>
      <x:c r="AJ12" s="56"/>
      <x:c r="AK12" s="56"/>
      <x:c r="AL12" s="56"/>
      <x:c r="AM12" s="56"/>
      <x:c r="AN12" s="56"/>
      <x:c r="AO12" s="56"/>
      <x:c r="AP12" s="56"/>
      <x:c r="AQ12" s="56"/>
      <x:c r="AR12" s="56"/>
      <x:c r="AS12" s="56"/>
      <x:c r="AT12" s="56"/>
      <x:c r="AU12" s="56"/>
      <x:c r="AV12" s="56"/>
      <x:c r="AW12" s="56"/>
      <x:c r="AX12" s="2"/>
      <x:c r="AY12" s="2"/>
      <x:c r="AZ12" s="2"/>
    </x:row>
    <x:row r="13" ht="13.5" customHeight="1">
      <x:c r="A13" s="2"/>
      <x:c r="B13" s="2"/>
      <x:c r="C13" s="50"/>
      <x:c r="D13" s="50"/>
      <x:c r="E13" s="50"/>
      <x:c r="F13" s="50"/>
      <x:c r="G13" s="50"/>
      <x:c r="H13" s="50"/>
      <x:c r="I13" s="50"/>
      <x:c r="J13" s="50"/>
      <x:c r="K13" s="50"/>
      <x:c r="L13" s="50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6"/>
      <x:c r="Y13" s="56"/>
      <x:c r="Z13" s="56"/>
      <x:c r="AA13" s="56"/>
      <x:c r="AB13" s="56"/>
      <x:c r="AC13" s="56"/>
      <x:c r="AD13" s="56"/>
      <x:c r="AE13" s="56"/>
      <x:c r="AF13" s="56"/>
      <x:c r="AG13" s="56"/>
      <x:c r="AH13" s="56"/>
      <x:c r="AI13" s="56"/>
      <x:c r="AJ13" s="56"/>
      <x:c r="AK13" s="56"/>
      <x:c r="AL13" s="56"/>
      <x:c r="AM13" s="56"/>
      <x:c r="AN13" s="56"/>
      <x:c r="AO13" s="56"/>
      <x:c r="AP13" s="56"/>
      <x:c r="AQ13" s="56"/>
      <x:c r="AR13" s="56"/>
      <x:c r="AS13" s="56"/>
      <x:c r="AT13" s="56"/>
      <x:c r="AU13" s="56"/>
      <x:c r="AV13" s="56"/>
      <x:c r="AW13" s="56"/>
      <x:c r="AX13" s="2"/>
      <x:c r="AY13" s="2"/>
      <x:c r="AZ13" s="2"/>
    </x:row>
    <x:row r="14" ht="13.5" customHeight="1">
      <x:c r="A14" s="2"/>
      <x:c r="B14" s="2"/>
      <x:c r="C14" s="50" t="str">
        <x:v>金額閾値</x:v>
      </x:c>
      <x:c r="D14" s="50"/>
      <x:c r="E14" s="50"/>
      <x:c r="F14" s="50"/>
      <x:c r="G14" s="50"/>
      <x:c r="H14" s="50"/>
      <x:c r="I14" s="50"/>
      <x:c r="J14" s="50"/>
      <x:c r="K14" s="50"/>
      <x:c r="L14" s="50"/>
      <x:c r="M14" s="56" t="str">
        <x:v>100,000円以下：課長承認、100,000円超：部長承認</x:v>
      </x:c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  <x:c r="Z14" s="56"/>
      <x:c r="AA14" s="56"/>
      <x:c r="AB14" s="56"/>
      <x:c r="AC14" s="56"/>
      <x:c r="AD14" s="56"/>
      <x:c r="AE14" s="56"/>
      <x:c r="AF14" s="56"/>
      <x:c r="AG14" s="56"/>
      <x:c r="AH14" s="56"/>
      <x:c r="AI14" s="56"/>
      <x:c r="AJ14" s="56"/>
      <x:c r="AK14" s="56"/>
      <x:c r="AL14" s="56"/>
      <x:c r="AM14" s="56"/>
      <x:c r="AN14" s="56"/>
      <x:c r="AO14" s="56"/>
      <x:c r="AP14" s="56"/>
      <x:c r="AQ14" s="56"/>
      <x:c r="AR14" s="56"/>
      <x:c r="AS14" s="56"/>
      <x:c r="AT14" s="56"/>
      <x:c r="AU14" s="56"/>
      <x:c r="AV14" s="56"/>
      <x:c r="AW14" s="56"/>
      <x:c r="AX14" s="2"/>
      <x:c r="AY14" s="2"/>
      <x:c r="AZ14" s="2"/>
    </x:row>
    <x:row r="15" ht="13.5" customHeight="1">
      <x:c r="A15" s="2"/>
      <x:c r="B15" s="2"/>
      <x:c r="C15" s="50"/>
      <x:c r="D15" s="50"/>
      <x:c r="E15" s="50"/>
      <x:c r="F15" s="50"/>
      <x:c r="G15" s="50"/>
      <x:c r="H15" s="50"/>
      <x:c r="I15" s="50"/>
      <x:c r="J15" s="50"/>
      <x:c r="K15" s="50"/>
      <x:c r="L15" s="50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  <x:c r="Z15" s="56"/>
      <x:c r="AA15" s="56"/>
      <x:c r="AB15" s="56"/>
      <x:c r="AC15" s="56"/>
      <x:c r="AD15" s="56"/>
      <x:c r="AE15" s="56"/>
      <x:c r="AF15" s="56"/>
      <x:c r="AG15" s="56"/>
      <x:c r="AH15" s="56"/>
      <x:c r="AI15" s="56"/>
      <x:c r="AJ15" s="56"/>
      <x:c r="AK15" s="56"/>
      <x:c r="AL15" s="56"/>
      <x:c r="AM15" s="56"/>
      <x:c r="AN15" s="56"/>
      <x:c r="AO15" s="56"/>
      <x:c r="AP15" s="56"/>
      <x:c r="AQ15" s="56"/>
      <x:c r="AR15" s="56"/>
      <x:c r="AS15" s="56"/>
      <x:c r="AT15" s="56"/>
      <x:c r="AU15" s="56"/>
      <x:c r="AV15" s="56"/>
      <x:c r="AW15" s="56"/>
      <x:c r="AX15" s="2"/>
      <x:c r="AY15" s="2"/>
      <x:c r="AZ15" s="2"/>
    </x:row>
    <x:row r="16" ht="13.5" customHeight="1">
      <x:c r="A16" s="2"/>
      <x:c r="B16" s="2"/>
      <x:c r="C16" s="50"/>
      <x:c r="D16" s="50"/>
      <x:c r="E16" s="50"/>
      <x:c r="F16" s="50"/>
      <x:c r="G16" s="50"/>
      <x:c r="H16" s="50"/>
      <x:c r="I16" s="50"/>
      <x:c r="J16" s="50"/>
      <x:c r="K16" s="50"/>
      <x:c r="L16" s="50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  <x:c r="Z16" s="56"/>
      <x:c r="AA16" s="56"/>
      <x:c r="AB16" s="56"/>
      <x:c r="AC16" s="56"/>
      <x:c r="AD16" s="56"/>
      <x:c r="AE16" s="56"/>
      <x:c r="AF16" s="56"/>
      <x:c r="AG16" s="56"/>
      <x:c r="AH16" s="56"/>
      <x:c r="AI16" s="56"/>
      <x:c r="AJ16" s="56"/>
      <x:c r="AK16" s="56"/>
      <x:c r="AL16" s="56"/>
      <x:c r="AM16" s="56"/>
      <x:c r="AN16" s="56"/>
      <x:c r="AO16" s="56"/>
      <x:c r="AP16" s="56"/>
      <x:c r="AQ16" s="56"/>
      <x:c r="AR16" s="56"/>
      <x:c r="AS16" s="56"/>
      <x:c r="AT16" s="56"/>
      <x:c r="AU16" s="56"/>
      <x:c r="AV16" s="56"/>
      <x:c r="AW16" s="56"/>
      <x:c r="AX16" s="2"/>
      <x:c r="AY16" s="2"/>
      <x:c r="AZ16" s="2"/>
    </x:row>
    <x:row r="17" ht="13.5" customHeight="1">
      <x:c r="A17" s="2"/>
      <x:c r="B17" s="2"/>
      <x:c r="C17" s="50" t="str">
        <x:v>領収書</x:v>
      </x:c>
      <x:c r="D17" s="50"/>
      <x:c r="E17" s="50"/>
      <x:c r="F17" s="50"/>
      <x:c r="G17" s="50"/>
      <x:c r="H17" s="50"/>
      <x:c r="I17" s="50"/>
      <x:c r="J17" s="50"/>
      <x:c r="K17" s="50"/>
      <x:c r="L17" s="50"/>
      <x:c r="M17" s="56" t="str">
        <x:v>10,000円以上では添付必須。PDF/JPEG/PNG、最大10MB</x:v>
      </x:c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  <x:c r="Z17" s="56"/>
      <x:c r="AA17" s="56"/>
      <x:c r="AB17" s="56"/>
      <x:c r="AC17" s="56"/>
      <x:c r="AD17" s="56"/>
      <x:c r="AE17" s="56"/>
      <x:c r="AF17" s="56"/>
      <x:c r="AG17" s="56"/>
      <x:c r="AH17" s="56"/>
      <x:c r="AI17" s="56"/>
      <x:c r="AJ17" s="56"/>
      <x:c r="AK17" s="56"/>
      <x:c r="AL17" s="56"/>
      <x:c r="AM17" s="56"/>
      <x:c r="AN17" s="56"/>
      <x:c r="AO17" s="56"/>
      <x:c r="AP17" s="56"/>
      <x:c r="AQ17" s="56"/>
      <x:c r="AR17" s="56"/>
      <x:c r="AS17" s="56"/>
      <x:c r="AT17" s="56"/>
      <x:c r="AU17" s="56"/>
      <x:c r="AV17" s="56"/>
      <x:c r="AW17" s="56"/>
      <x:c r="AX17" s="2"/>
      <x:c r="AY17" s="2"/>
      <x:c r="AZ17" s="2"/>
    </x:row>
    <x:row r="18" ht="13.5" customHeight="1">
      <x:c r="A18" s="2"/>
      <x:c r="B18" s="2"/>
      <x:c r="C18" s="50"/>
      <x:c r="D18" s="50"/>
      <x:c r="E18" s="50"/>
      <x:c r="F18" s="50"/>
      <x:c r="G18" s="50"/>
      <x:c r="H18" s="50"/>
      <x:c r="I18" s="50"/>
      <x:c r="J18" s="50"/>
      <x:c r="K18" s="50"/>
      <x:c r="L18" s="50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  <x:c r="Z18" s="56"/>
      <x:c r="AA18" s="56"/>
      <x:c r="AB18" s="56"/>
      <x:c r="AC18" s="56"/>
      <x:c r="AD18" s="56"/>
      <x:c r="AE18" s="56"/>
      <x:c r="AF18" s="56"/>
      <x:c r="AG18" s="56"/>
      <x:c r="AH18" s="56"/>
      <x:c r="AI18" s="56"/>
      <x:c r="AJ18" s="56"/>
      <x:c r="AK18" s="56"/>
      <x:c r="AL18" s="56"/>
      <x:c r="AM18" s="56"/>
      <x:c r="AN18" s="56"/>
      <x:c r="AO18" s="56"/>
      <x:c r="AP18" s="56"/>
      <x:c r="AQ18" s="56"/>
      <x:c r="AR18" s="56"/>
      <x:c r="AS18" s="56"/>
      <x:c r="AT18" s="56"/>
      <x:c r="AU18" s="56"/>
      <x:c r="AV18" s="56"/>
      <x:c r="AW18" s="56"/>
      <x:c r="AX18" s="2"/>
      <x:c r="AY18" s="2"/>
      <x:c r="AZ18" s="2"/>
    </x:row>
    <x:row r="19" ht="13.5" customHeight="1">
      <x:c r="A19" s="2"/>
      <x:c r="B19" s="2"/>
      <x:c r="C19" s="50"/>
      <x:c r="D19" s="50"/>
      <x:c r="E19" s="50"/>
      <x:c r="F19" s="50"/>
      <x:c r="G19" s="50"/>
      <x:c r="H19" s="50"/>
      <x:c r="I19" s="50"/>
      <x:c r="J19" s="50"/>
      <x:c r="K19" s="50"/>
      <x:c r="L19" s="50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  <x:c r="Z19" s="56"/>
      <x:c r="AA19" s="56"/>
      <x:c r="AB19" s="56"/>
      <x:c r="AC19" s="56"/>
      <x:c r="AD19" s="56"/>
      <x:c r="AE19" s="56"/>
      <x:c r="AF19" s="56"/>
      <x:c r="AG19" s="56"/>
      <x:c r="AH19" s="56"/>
      <x:c r="AI19" s="56"/>
      <x:c r="AJ19" s="56"/>
      <x:c r="AK19" s="56"/>
      <x:c r="AL19" s="56"/>
      <x:c r="AM19" s="56"/>
      <x:c r="AN19" s="56"/>
      <x:c r="AO19" s="56"/>
      <x:c r="AP19" s="56"/>
      <x:c r="AQ19" s="56"/>
      <x:c r="AR19" s="56"/>
      <x:c r="AS19" s="56"/>
      <x:c r="AT19" s="56"/>
      <x:c r="AU19" s="56"/>
      <x:c r="AV19" s="56"/>
      <x:c r="AW19" s="56"/>
      <x:c r="AX19" s="2"/>
      <x:c r="AY19" s="2"/>
      <x:c r="AZ19" s="2"/>
    </x:row>
    <x:row r="20" ht="13.5" customHeight="1">
      <x:c r="A20" s="2"/>
      <x:c r="B20" s="2"/>
      <x:c r="C20" s="50" t="str">
        <x:v>可用性</x:v>
      </x:c>
      <x:c r="D20" s="50"/>
      <x:c r="E20" s="50"/>
      <x:c r="F20" s="50"/>
      <x:c r="G20" s="50"/>
      <x:c r="H20" s="50"/>
      <x:c r="I20" s="50"/>
      <x:c r="J20" s="50"/>
      <x:c r="K20" s="50"/>
      <x:c r="L20" s="50"/>
      <x:c r="M20" s="56" t="str">
        <x:v>平日 8:00–22:00、月間稼働率99.9%を目標</x:v>
      </x:c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  <x:c r="Z20" s="56"/>
      <x:c r="AA20" s="56"/>
      <x:c r="AB20" s="56"/>
      <x:c r="AC20" s="56"/>
      <x:c r="AD20" s="56"/>
      <x:c r="AE20" s="56"/>
      <x:c r="AF20" s="56"/>
      <x:c r="AG20" s="56"/>
      <x:c r="AH20" s="56"/>
      <x:c r="AI20" s="56"/>
      <x:c r="AJ20" s="56"/>
      <x:c r="AK20" s="56"/>
      <x:c r="AL20" s="56"/>
      <x:c r="AM20" s="56"/>
      <x:c r="AN20" s="56"/>
      <x:c r="AO20" s="56"/>
      <x:c r="AP20" s="56"/>
      <x:c r="AQ20" s="56"/>
      <x:c r="AR20" s="56"/>
      <x:c r="AS20" s="56"/>
      <x:c r="AT20" s="56"/>
      <x:c r="AU20" s="56"/>
      <x:c r="AV20" s="56"/>
      <x:c r="AW20" s="56"/>
      <x:c r="AX20" s="2"/>
      <x:c r="AY20" s="2"/>
      <x:c r="AZ20" s="2"/>
    </x:row>
    <x:row r="21" ht="13.5" customHeight="1">
      <x:c r="A21" s="2"/>
      <x:c r="B21" s="2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  <x:c r="Z21" s="56"/>
      <x:c r="AA21" s="56"/>
      <x:c r="AB21" s="56"/>
      <x:c r="AC21" s="56"/>
      <x:c r="AD21" s="56"/>
      <x:c r="AE21" s="56"/>
      <x:c r="AF21" s="56"/>
      <x:c r="AG21" s="56"/>
      <x:c r="AH21" s="56"/>
      <x:c r="AI21" s="56"/>
      <x:c r="AJ21" s="56"/>
      <x:c r="AK21" s="56"/>
      <x:c r="AL21" s="56"/>
      <x:c r="AM21" s="56"/>
      <x:c r="AN21" s="56"/>
      <x:c r="AO21" s="56"/>
      <x:c r="AP21" s="56"/>
      <x:c r="AQ21" s="56"/>
      <x:c r="AR21" s="56"/>
      <x:c r="AS21" s="56"/>
      <x:c r="AT21" s="56"/>
      <x:c r="AU21" s="56"/>
      <x:c r="AV21" s="56"/>
      <x:c r="AW21" s="56"/>
      <x:c r="AX21" s="2"/>
      <x:c r="AY21" s="2"/>
      <x:c r="AZ21" s="2"/>
    </x:row>
    <x:row r="22" ht="13.5" customHeight="1">
      <x:c r="A22" s="2"/>
      <x:c r="B22" s="2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  <x:c r="Z22" s="56"/>
      <x:c r="AA22" s="56"/>
      <x:c r="AB22" s="56"/>
      <x:c r="AC22" s="56"/>
      <x:c r="AD22" s="56"/>
      <x:c r="AE22" s="56"/>
      <x:c r="AF22" s="56"/>
      <x:c r="AG22" s="56"/>
      <x:c r="AH22" s="56"/>
      <x:c r="AI22" s="56"/>
      <x:c r="AJ22" s="56"/>
      <x:c r="AK22" s="56"/>
      <x:c r="AL22" s="56"/>
      <x:c r="AM22" s="56"/>
      <x:c r="AN22" s="56"/>
      <x:c r="AO22" s="56"/>
      <x:c r="AP22" s="56"/>
      <x:c r="AQ22" s="56"/>
      <x:c r="AR22" s="56"/>
      <x:c r="AS22" s="56"/>
      <x:c r="AT22" s="56"/>
      <x:c r="AU22" s="56"/>
      <x:c r="AV22" s="56"/>
      <x:c r="AW22" s="56"/>
      <x:c r="AX22" s="2"/>
      <x:c r="AY22" s="2"/>
      <x:c r="AZ22" s="2"/>
    </x:row>
    <x:row r="23" ht="13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 ht="13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 ht="13.5" customHeight="1">
      <x:c r="A25" s="2"/>
      <x:c r="B25" s="77" t="str">
        <x:v>1.2 システム構成・外部連携</x:v>
      </x:c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78"/>
      <x:c r="U25" s="78"/>
      <x:c r="V25" s="78"/>
      <x:c r="W25" s="78"/>
      <x:c r="X25" s="78"/>
      <x:c r="Y25" s="78"/>
      <x:c r="Z25" s="78"/>
      <x:c r="AA25" s="78"/>
      <x:c r="AB25" s="78"/>
      <x:c r="AC25" s="78"/>
      <x:c r="AD25" s="78"/>
      <x:c r="AE25" s="78"/>
      <x:c r="AF25" s="78"/>
      <x:c r="AG25" s="78"/>
      <x:c r="AH25" s="78"/>
      <x:c r="AI25" s="78"/>
      <x:c r="AJ25" s="78"/>
      <x:c r="AK25" s="78"/>
      <x:c r="AL25" s="78"/>
      <x:c r="AM25" s="78"/>
      <x:c r="AN25" s="78"/>
      <x:c r="AO25" s="78"/>
      <x:c r="AP25" s="78"/>
      <x:c r="AQ25" s="78"/>
      <x:c r="AR25" s="78"/>
      <x:c r="AS25" s="78"/>
      <x:c r="AT25" s="78"/>
      <x:c r="AU25" s="78"/>
      <x:c r="AV25" s="78"/>
      <x:c r="AW25" s="78"/>
      <x:c r="AX25" s="79"/>
      <x:c r="AY25" s="2"/>
      <x:c r="AZ25" s="2"/>
    </x:row>
    <x:row r="26" ht="13.5" customHeight="1">
      <x:c r="A26" s="2"/>
      <x:c r="B26" s="80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  <x:c r="AA26" s="81"/>
      <x:c r="AB26" s="81"/>
      <x:c r="AC26" s="81"/>
      <x:c r="AD26" s="81"/>
      <x:c r="AE26" s="81"/>
      <x:c r="AF26" s="81"/>
      <x:c r="AG26" s="81"/>
      <x:c r="AH26" s="81"/>
      <x:c r="AI26" s="81"/>
      <x:c r="AJ26" s="81"/>
      <x:c r="AK26" s="81"/>
      <x:c r="AL26" s="81"/>
      <x:c r="AM26" s="81"/>
      <x:c r="AN26" s="81"/>
      <x:c r="AO26" s="81"/>
      <x:c r="AP26" s="81"/>
      <x:c r="AQ26" s="81"/>
      <x:c r="AR26" s="81"/>
      <x:c r="AS26" s="81"/>
      <x:c r="AT26" s="81"/>
      <x:c r="AU26" s="81"/>
      <x:c r="AV26" s="81"/>
      <x:c r="AW26" s="81"/>
      <x:c r="AX26" s="82"/>
      <x:c r="AY26" s="2"/>
      <x:c r="AZ26" s="2"/>
    </x:row>
    <x:row r="27" ht="13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 ht="13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 ht="13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144" t="str">
        <x:v>&lt;&lt;service&gt;&gt; expense-api
認証・入力検証
状態遷移／Outbox</x:v>
      </x:c>
      <x:c r="AE29" s="144"/>
      <x:c r="AF29" s="144"/>
      <x:c r="AG29" s="144"/>
      <x:c r="AH29" s="144"/>
      <x:c r="AI29" s="144"/>
      <x:c r="AJ29" s="144"/>
      <x:c r="AK29" s="144"/>
      <x:c r="AL29" s="144"/>
      <x:c r="AM29" s="144"/>
      <x:c r="AN29" s="2"/>
      <x:c r="AO29" s="2"/>
      <x:c r="AP29" s="2"/>
      <x:c r="AQ29" s="2"/>
      <x:c r="AR29" s="2"/>
      <x:c r="AS29" s="144" t="str">
        <x:v>&lt;&lt;external&gt;&gt;
認証基盤</x:v>
      </x:c>
      <x:c r="AT29" s="144"/>
      <x:c r="AU29" s="144"/>
      <x:c r="AV29" s="144"/>
      <x:c r="AW29" s="144"/>
      <x:c r="AX29" s="144"/>
      <x:c r="AY29" s="2"/>
      <x:c r="AZ29" s="2"/>
    </x:row>
    <x:row r="30" ht="13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144"/>
      <x:c r="AE30" s="144"/>
      <x:c r="AF30" s="144"/>
      <x:c r="AG30" s="144"/>
      <x:c r="AH30" s="144"/>
      <x:c r="AI30" s="144"/>
      <x:c r="AJ30" s="144"/>
      <x:c r="AK30" s="144"/>
      <x:c r="AL30" s="144"/>
      <x:c r="AM30" s="144"/>
      <x:c r="AN30" s="2"/>
      <x:c r="AO30" s="2"/>
      <x:c r="AP30" s="2"/>
      <x:c r="AQ30" s="2"/>
      <x:c r="AR30" s="2"/>
      <x:c r="AS30" s="144"/>
      <x:c r="AT30" s="144"/>
      <x:c r="AU30" s="144"/>
      <x:c r="AV30" s="144"/>
      <x:c r="AW30" s="144"/>
      <x:c r="AX30" s="144"/>
      <x:c r="AY30" s="2"/>
      <x:c r="AZ30" s="2"/>
    </x:row>
    <x:row r="31" ht="13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144" t="str">
        <x:v>&lt;&lt;frontend&gt;&gt;
Web UI
React / SPA</x:v>
      </x:c>
      <x:c r="Q31" s="144"/>
      <x:c r="R31" s="144"/>
      <x:c r="S31" s="144"/>
      <x:c r="T31" s="144"/>
      <x:c r="U31" s="144"/>
      <x:c r="V31" s="144"/>
      <x:c r="W31" s="144"/>
      <x:c r="X31" s="144"/>
      <x:c r="Y31" s="2"/>
      <x:c r="Z31" s="2"/>
      <x:c r="AA31" s="2"/>
      <x:c r="AB31" s="2"/>
      <x:c r="AC31" s="2"/>
      <x:c r="AD31" s="144"/>
      <x:c r="AE31" s="144"/>
      <x:c r="AF31" s="144"/>
      <x:c r="AG31" s="144"/>
      <x:c r="AH31" s="144"/>
      <x:c r="AI31" s="144"/>
      <x:c r="AJ31" s="144"/>
      <x:c r="AK31" s="144"/>
      <x:c r="AL31" s="144"/>
      <x:c r="AM31" s="144"/>
      <x:c r="AN31" s="152" t="str">
        <x:v>IF-03 OIDC</x:v>
      </x:c>
      <x:c r="AO31" s="152"/>
      <x:c r="AP31" s="152"/>
      <x:c r="AQ31" s="152"/>
      <x:c r="AR31" s="152"/>
      <x:c r="AS31" s="144"/>
      <x:c r="AT31" s="144"/>
      <x:c r="AU31" s="144"/>
      <x:c r="AV31" s="144"/>
      <x:c r="AW31" s="144"/>
      <x:c r="AX31" s="144"/>
      <x:c r="AY31" s="2"/>
      <x:c r="AZ31" s="2"/>
    </x:row>
    <x:row r="32" ht="13.5" customHeight="1">
      <x:c r="A32" s="2"/>
      <x:c r="B32" s="2"/>
      <x:c r="C32" s="144" t="str">
        <x:v>&lt;&lt;actor&gt;&gt;
申請者／承認者
Webブラウザ</x:v>
      </x:c>
      <x:c r="D32" s="144"/>
      <x:c r="E32" s="144"/>
      <x:c r="F32" s="144"/>
      <x:c r="G32" s="144"/>
      <x:c r="H32" s="144"/>
      <x:c r="I32" s="144"/>
      <x:c r="J32" s="144"/>
      <x:c r="K32" s="2"/>
      <x:c r="L32" s="2"/>
      <x:c r="M32" s="2"/>
      <x:c r="N32" s="2"/>
      <x:c r="O32" s="2"/>
      <x:c r="P32" s="144"/>
      <x:c r="Q32" s="144"/>
      <x:c r="R32" s="144"/>
      <x:c r="S32" s="144"/>
      <x:c r="T32" s="144"/>
      <x:c r="U32" s="144"/>
      <x:c r="V32" s="144"/>
      <x:c r="W32" s="144"/>
      <x:c r="X32" s="144"/>
      <x:c r="Y32" s="2"/>
      <x:c r="Z32" s="2"/>
      <x:c r="AA32" s="2"/>
      <x:c r="AB32" s="2"/>
      <x:c r="AC32" s="2"/>
      <x:c r="AD32" s="144"/>
      <x:c r="AE32" s="144"/>
      <x:c r="AF32" s="144"/>
      <x:c r="AG32" s="144"/>
      <x:c r="AH32" s="144"/>
      <x:c r="AI32" s="144"/>
      <x:c r="AJ32" s="144"/>
      <x:c r="AK32" s="144"/>
      <x:c r="AL32" s="144"/>
      <x:c r="AM32" s="144"/>
      <x:c r="AN32" s="2"/>
      <x:c r="AO32" s="2"/>
      <x:c r="AP32" s="2"/>
      <x:c r="AQ32" s="2"/>
      <x:c r="AR32" s="2"/>
      <x:c r="AS32" s="144"/>
      <x:c r="AT32" s="144"/>
      <x:c r="AU32" s="144"/>
      <x:c r="AV32" s="144"/>
      <x:c r="AW32" s="144"/>
      <x:c r="AX32" s="144"/>
      <x:c r="AY32" s="2"/>
      <x:c r="AZ32" s="2"/>
    </x:row>
    <x:row r="33" ht="13.5" customHeight="1">
      <x:c r="A33" s="2"/>
      <x:c r="B33" s="2"/>
      <x:c r="C33" s="144"/>
      <x:c r="D33" s="144"/>
      <x:c r="E33" s="144"/>
      <x:c r="F33" s="144"/>
      <x:c r="G33" s="144"/>
      <x:c r="H33" s="144"/>
      <x:c r="I33" s="144"/>
      <x:c r="J33" s="144"/>
      <x:c r="K33" s="148" t="str">
        <x:v>IF-01 HTTPS/TLS</x:v>
      </x:c>
      <x:c r="L33" s="148"/>
      <x:c r="M33" s="148"/>
      <x:c r="N33" s="148"/>
      <x:c r="O33" s="148"/>
      <x:c r="P33" s="144"/>
      <x:c r="Q33" s="144"/>
      <x:c r="R33" s="144"/>
      <x:c r="S33" s="144"/>
      <x:c r="T33" s="144"/>
      <x:c r="U33" s="144"/>
      <x:c r="V33" s="144"/>
      <x:c r="W33" s="144"/>
      <x:c r="X33" s="144"/>
      <x:c r="Y33" s="148" t="str">
        <x:v>IF-02 REST/JSON</x:v>
      </x:c>
      <x:c r="Z33" s="148"/>
      <x:c r="AA33" s="148"/>
      <x:c r="AB33" s="148"/>
      <x:c r="AC33" s="148"/>
      <x:c r="AD33" s="144"/>
      <x:c r="AE33" s="144"/>
      <x:c r="AF33" s="144"/>
      <x:c r="AG33" s="144"/>
      <x:c r="AH33" s="144"/>
      <x:c r="AI33" s="144"/>
      <x:c r="AJ33" s="144"/>
      <x:c r="AK33" s="144"/>
      <x:c r="AL33" s="144"/>
      <x:c r="AM33" s="144"/>
      <x:c r="AN33" s="2"/>
      <x:c r="AO33" s="2"/>
      <x:c r="AP33" s="2"/>
      <x:c r="AQ33" s="2"/>
      <x:c r="AR33" s="2"/>
      <x:c r="AS33" s="144"/>
      <x:c r="AT33" s="144"/>
      <x:c r="AU33" s="144"/>
      <x:c r="AV33" s="144"/>
      <x:c r="AW33" s="144"/>
      <x:c r="AX33" s="144"/>
      <x:c r="AY33" s="2"/>
      <x:c r="AZ33" s="2"/>
    </x:row>
    <x:row r="34" ht="13.5" customHeight="1">
      <x:c r="A34" s="2"/>
      <x:c r="B34" s="2"/>
      <x:c r="C34" s="144"/>
      <x:c r="D34" s="144"/>
      <x:c r="E34" s="144"/>
      <x:c r="F34" s="144"/>
      <x:c r="G34" s="144"/>
      <x:c r="H34" s="144"/>
      <x:c r="I34" s="144"/>
      <x:c r="J34" s="144"/>
      <x:c r="K34" s="2"/>
      <x:c r="L34" s="2"/>
      <x:c r="M34" s="2"/>
      <x:c r="N34" s="2"/>
      <x:c r="O34" s="2"/>
      <x:c r="P34" s="144"/>
      <x:c r="Q34" s="144"/>
      <x:c r="R34" s="144"/>
      <x:c r="S34" s="144"/>
      <x:c r="T34" s="144"/>
      <x:c r="U34" s="144"/>
      <x:c r="V34" s="144"/>
      <x:c r="W34" s="144"/>
      <x:c r="X34" s="144"/>
      <x:c r="Y34" s="2"/>
      <x:c r="Z34" s="2"/>
      <x:c r="AA34" s="2"/>
      <x:c r="AB34" s="2"/>
      <x:c r="AC34" s="2"/>
      <x:c r="AD34" s="144"/>
      <x:c r="AE34" s="144"/>
      <x:c r="AF34" s="144"/>
      <x:c r="AG34" s="144"/>
      <x:c r="AH34" s="144"/>
      <x:c r="AI34" s="144"/>
      <x:c r="AJ34" s="144"/>
      <x:c r="AK34" s="144"/>
      <x:c r="AL34" s="144"/>
      <x:c r="AM34" s="144"/>
      <x:c r="AN34" s="2"/>
      <x:c r="AO34" s="2"/>
      <x:c r="AP34" s="2"/>
      <x:c r="AQ34" s="2"/>
      <x:c r="AR34" s="2"/>
      <x:c r="AS34" s="144"/>
      <x:c r="AT34" s="144"/>
      <x:c r="AU34" s="144"/>
      <x:c r="AV34" s="144"/>
      <x:c r="AW34" s="144"/>
      <x:c r="AX34" s="144"/>
      <x:c r="AY34" s="2"/>
      <x:c r="AZ34" s="2"/>
    </x:row>
    <x:row r="35" ht="13.5" customHeight="1">
      <x:c r="A35" s="2"/>
      <x:c r="B35" s="2"/>
      <x:c r="C35" s="144"/>
      <x:c r="D35" s="144"/>
      <x:c r="E35" s="144"/>
      <x:c r="F35" s="144"/>
      <x:c r="G35" s="144"/>
      <x:c r="H35" s="144"/>
      <x:c r="I35" s="144"/>
      <x:c r="J35" s="144"/>
      <x:c r="K35" s="2"/>
      <x:c r="L35" s="2"/>
      <x:c r="M35" s="2"/>
      <x:c r="N35" s="2"/>
      <x:c r="O35" s="2"/>
      <x:c r="P35" s="144"/>
      <x:c r="Q35" s="144"/>
      <x:c r="R35" s="144"/>
      <x:c r="S35" s="144"/>
      <x:c r="T35" s="144"/>
      <x:c r="U35" s="144"/>
      <x:c r="V35" s="144"/>
      <x:c r="W35" s="144"/>
      <x:c r="X35" s="144"/>
      <x:c r="Y35" s="2"/>
      <x:c r="Z35" s="2"/>
      <x:c r="AA35" s="2"/>
      <x:c r="AB35" s="2"/>
      <x:c r="AC35" s="2"/>
      <x:c r="AD35" s="144"/>
      <x:c r="AE35" s="144"/>
      <x:c r="AF35" s="144"/>
      <x:c r="AG35" s="144"/>
      <x:c r="AH35" s="144"/>
      <x:c r="AI35" s="144"/>
      <x:c r="AJ35" s="144"/>
      <x:c r="AK35" s="144"/>
      <x:c r="AL35" s="144"/>
      <x:c r="AM35" s="144"/>
      <x:c r="AN35" s="2"/>
      <x:c r="AO35" s="2"/>
      <x:c r="AP35" s="2"/>
      <x:c r="AQ35" s="2"/>
      <x:c r="AR35" s="2"/>
      <x:c r="AS35" s="144"/>
      <x:c r="AT35" s="144"/>
      <x:c r="AU35" s="144"/>
      <x:c r="AV35" s="144"/>
      <x:c r="AW35" s="144"/>
      <x:c r="AX35" s="144"/>
      <x:c r="AY35" s="2"/>
      <x:c r="AZ35" s="2"/>
    </x:row>
    <x:row r="36" ht="13.5" customHeight="1">
      <x:c r="A36" s="2"/>
      <x:c r="B36" s="2"/>
      <x:c r="C36" s="144"/>
      <x:c r="D36" s="144"/>
      <x:c r="E36" s="144"/>
      <x:c r="F36" s="144"/>
      <x:c r="G36" s="144"/>
      <x:c r="H36" s="144"/>
      <x:c r="I36" s="144"/>
      <x:c r="J36" s="144"/>
      <x:c r="K36" s="2"/>
      <x:c r="L36" s="2"/>
      <x:c r="M36" s="2"/>
      <x:c r="N36" s="2"/>
      <x:c r="O36" s="2"/>
      <x:c r="P36" s="144"/>
      <x:c r="Q36" s="144"/>
      <x:c r="R36" s="144"/>
      <x:c r="S36" s="144"/>
      <x:c r="T36" s="144"/>
      <x:c r="U36" s="144"/>
      <x:c r="V36" s="144"/>
      <x:c r="W36" s="144"/>
      <x:c r="X36" s="144"/>
      <x:c r="Y36" s="2"/>
      <x:c r="Z36" s="2"/>
      <x:c r="AA36" s="2"/>
      <x:c r="AB36" s="2"/>
      <x:c r="AC36" s="2"/>
      <x:c r="AD36" s="144"/>
      <x:c r="AE36" s="144"/>
      <x:c r="AF36" s="144"/>
      <x:c r="AG36" s="144"/>
      <x:c r="AH36" s="144"/>
      <x:c r="AI36" s="144"/>
      <x:c r="AJ36" s="144"/>
      <x:c r="AK36" s="144"/>
      <x:c r="AL36" s="144"/>
      <x:c r="AM36" s="144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 ht="13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144"/>
      <x:c r="Q37" s="144"/>
      <x:c r="R37" s="144"/>
      <x:c r="S37" s="144"/>
      <x:c r="T37" s="144"/>
      <x:c r="U37" s="144"/>
      <x:c r="V37" s="144"/>
      <x:c r="W37" s="144"/>
      <x:c r="X37" s="144"/>
      <x:c r="Y37" s="2"/>
      <x:c r="Z37" s="2"/>
      <x:c r="AA37" s="2"/>
      <x:c r="AB37" s="2"/>
      <x:c r="AC37" s="2"/>
      <x:c r="AD37" s="144"/>
      <x:c r="AE37" s="144"/>
      <x:c r="AF37" s="144"/>
      <x:c r="AG37" s="144"/>
      <x:c r="AH37" s="144"/>
      <x:c r="AI37" s="144"/>
      <x:c r="AJ37" s="144"/>
      <x:c r="AK37" s="144"/>
      <x:c r="AL37" s="144"/>
      <x:c r="AM37" s="144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 ht="13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144"/>
      <x:c r="AE38" s="144"/>
      <x:c r="AF38" s="144"/>
      <x:c r="AG38" s="144"/>
      <x:c r="AH38" s="144"/>
      <x:c r="AI38" s="144"/>
      <x:c r="AJ38" s="144"/>
      <x:c r="AK38" s="144"/>
      <x:c r="AL38" s="144"/>
      <x:c r="AM38" s="144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 ht="13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144"/>
      <x:c r="AE39" s="144"/>
      <x:c r="AF39" s="144"/>
      <x:c r="AG39" s="144"/>
      <x:c r="AH39" s="144"/>
      <x:c r="AI39" s="144"/>
      <x:c r="AJ39" s="144"/>
      <x:c r="AK39" s="144"/>
      <x:c r="AL39" s="144"/>
      <x:c r="AM39" s="144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 ht="13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160" t="str">
        <x:v>IF-04 startApproval</x:v>
      </x:c>
      <x:c r="W40" s="160"/>
      <x:c r="X40" s="160"/>
      <x:c r="Y40" s="160"/>
      <x:c r="Z40" s="160"/>
      <x:c r="AA40" s="160"/>
      <x:c r="AB40" s="160"/>
      <x:c r="AC40" s="160"/>
      <x:c r="AD40" s="160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 ht="13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160"/>
      <x:c r="W41" s="160"/>
      <x:c r="X41" s="160"/>
      <x:c r="Y41" s="160"/>
      <x:c r="Z41" s="160"/>
      <x:c r="AA41" s="160"/>
      <x:c r="AB41" s="160"/>
      <x:c r="AC41" s="160"/>
      <x:c r="AD41" s="160"/>
      <x:c r="AE41" s="2"/>
      <x:c r="AF41" s="2"/>
      <x:c r="AG41" s="2"/>
      <x:c r="AH41" s="2"/>
      <x:c r="AI41" s="156" t="str">
        <x:v>TX-01 JDBC</x:v>
      </x:c>
      <x:c r="AJ41" s="156"/>
      <x:c r="AK41" s="156"/>
      <x:c r="AL41" s="156"/>
      <x:c r="AM41" s="156"/>
      <x:c r="AN41" s="156"/>
      <x:c r="AO41" s="156"/>
      <x:c r="AP41" s="156"/>
      <x:c r="AQ41" s="156"/>
      <x:c r="AR41" s="156"/>
      <x:c r="AS41" s="2"/>
      <x:c r="AT41" s="2"/>
      <x:c r="AU41" s="2"/>
      <x:c r="AV41" s="2"/>
      <x:c r="AW41" s="2"/>
      <x:c r="AX41" s="2"/>
      <x:c r="AY41" s="2"/>
      <x:c r="AZ41" s="2"/>
    </x:row>
    <x:row r="42" ht="13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164" t="str">
        <x:v>task_id（破線）</x:v>
      </x:c>
      <x:c r="X42" s="164"/>
      <x:c r="Y42" s="164"/>
      <x:c r="Z42" s="164"/>
      <x:c r="AA42" s="164"/>
      <x:c r="AB42" s="164"/>
      <x:c r="AC42" s="164"/>
      <x:c r="AD42" s="164"/>
      <x:c r="AE42" s="164"/>
      <x:c r="AF42" s="2"/>
      <x:c r="AG42" s="2"/>
      <x:c r="AH42" s="2"/>
      <x:c r="AI42" s="156"/>
      <x:c r="AJ42" s="156"/>
      <x:c r="AK42" s="156"/>
      <x:c r="AL42" s="156"/>
      <x:c r="AM42" s="156"/>
      <x:c r="AN42" s="156"/>
      <x:c r="AO42" s="156"/>
      <x:c r="AP42" s="156"/>
      <x:c r="AQ42" s="156"/>
      <x:c r="AR42" s="156"/>
      <x:c r="AS42" s="2"/>
      <x:c r="AT42" s="2"/>
      <x:c r="AU42" s="2"/>
      <x:c r="AV42" s="2"/>
      <x:c r="AW42" s="2"/>
      <x:c r="AX42" s="2"/>
      <x:c r="AY42" s="2"/>
      <x:c r="AZ42" s="2"/>
    </x:row>
    <x:row r="43" ht="13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164"/>
      <x:c r="X43" s="164"/>
      <x:c r="Y43" s="164"/>
      <x:c r="Z43" s="164"/>
      <x:c r="AA43" s="164"/>
      <x:c r="AB43" s="164"/>
      <x:c r="AC43" s="164"/>
      <x:c r="AD43" s="164"/>
      <x:c r="AE43" s="164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 ht="13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144" t="str">
        <x:v>&lt;&lt;service&gt;&gt;
approval-orchestrator
閾値・経路判定</x:v>
      </x:c>
      <x:c r="R44" s="144"/>
      <x:c r="S44" s="144"/>
      <x:c r="T44" s="144"/>
      <x:c r="U44" s="144"/>
      <x:c r="V44" s="144"/>
      <x:c r="W44" s="144"/>
      <x:c r="X44" s="144"/>
      <x:c r="Y44" s="144"/>
      <x:c r="Z44" s="2"/>
      <x:c r="AA44" s="2"/>
      <x:c r="AB44" s="2"/>
      <x:c r="AC44" s="2"/>
      <x:c r="AD44" s="2"/>
      <x:c r="AE44" s="144" t="str">
        <x:v>&lt;&lt;database&gt;&gt;
PostgreSQL 16</x:v>
      </x:c>
      <x:c r="AF44" s="144"/>
      <x:c r="AG44" s="144"/>
      <x:c r="AH44" s="144"/>
      <x:c r="AI44" s="144"/>
      <x:c r="AJ44" s="144"/>
      <x:c r="AK44" s="144"/>
      <x:c r="AL44" s="144"/>
      <x:c r="AM44" s="2"/>
      <x:c r="AN44" s="2"/>
      <x:c r="AO44" s="2"/>
      <x:c r="AP44" s="144" t="str">
        <x:v>&lt;&lt;topic&gt;&gt;
expense.events.v1
at-least-once</x:v>
      </x:c>
      <x:c r="AQ44" s="144"/>
      <x:c r="AR44" s="144"/>
      <x:c r="AS44" s="144"/>
      <x:c r="AT44" s="144"/>
      <x:c r="AU44" s="144"/>
      <x:c r="AV44" s="144"/>
      <x:c r="AW44" s="144"/>
      <x:c r="AX44" s="144"/>
      <x:c r="AY44" s="2"/>
      <x:c r="AZ44" s="2"/>
    </x:row>
    <x:row r="45" ht="13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144"/>
      <x:c r="R45" s="144"/>
      <x:c r="S45" s="144"/>
      <x:c r="T45" s="144"/>
      <x:c r="U45" s="144"/>
      <x:c r="V45" s="144"/>
      <x:c r="W45" s="144"/>
      <x:c r="X45" s="144"/>
      <x:c r="Y45" s="144"/>
      <x:c r="Z45" s="2"/>
      <x:c r="AA45" s="2"/>
      <x:c r="AB45" s="2"/>
      <x:c r="AC45" s="2"/>
      <x:c r="AD45" s="2"/>
      <x:c r="AE45" s="144"/>
      <x:c r="AF45" s="144"/>
      <x:c r="AG45" s="144"/>
      <x:c r="AH45" s="144"/>
      <x:c r="AI45" s="144"/>
      <x:c r="AJ45" s="144"/>
      <x:c r="AK45" s="144"/>
      <x:c r="AL45" s="144"/>
      <x:c r="AM45" s="2"/>
      <x:c r="AN45" s="2"/>
      <x:c r="AO45" s="2"/>
      <x:c r="AP45" s="144"/>
      <x:c r="AQ45" s="144"/>
      <x:c r="AR45" s="144"/>
      <x:c r="AS45" s="144"/>
      <x:c r="AT45" s="144"/>
      <x:c r="AU45" s="144"/>
      <x:c r="AV45" s="144"/>
      <x:c r="AW45" s="144"/>
      <x:c r="AX45" s="144"/>
      <x:c r="AY45" s="2"/>
      <x:c r="AZ45" s="2"/>
    </x:row>
    <x:row r="46" ht="13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144"/>
      <x:c r="R46" s="144"/>
      <x:c r="S46" s="144"/>
      <x:c r="T46" s="144"/>
      <x:c r="U46" s="144"/>
      <x:c r="V46" s="144"/>
      <x:c r="W46" s="144"/>
      <x:c r="X46" s="144"/>
      <x:c r="Y46" s="144"/>
      <x:c r="Z46" s="2"/>
      <x:c r="AA46" s="2"/>
      <x:c r="AB46" s="2"/>
      <x:c r="AC46" s="2"/>
      <x:c r="AD46" s="2"/>
      <x:c r="AE46" s="144"/>
      <x:c r="AF46" s="144"/>
      <x:c r="AG46" s="144"/>
      <x:c r="AH46" s="144"/>
      <x:c r="AI46" s="144"/>
      <x:c r="AJ46" s="144"/>
      <x:c r="AK46" s="144"/>
      <x:c r="AL46" s="144"/>
      <x:c r="AM46" s="152" t="str">
        <x:v>IF-05 publish</x:v>
      </x:c>
      <x:c r="AN46" s="152"/>
      <x:c r="AO46" s="152"/>
      <x:c r="AP46" s="144"/>
      <x:c r="AQ46" s="144"/>
      <x:c r="AR46" s="144"/>
      <x:c r="AS46" s="144"/>
      <x:c r="AT46" s="144"/>
      <x:c r="AU46" s="144"/>
      <x:c r="AV46" s="144"/>
      <x:c r="AW46" s="144"/>
      <x:c r="AX46" s="144"/>
      <x:c r="AY46" s="2"/>
      <x:c r="AZ46" s="2"/>
    </x:row>
    <x:row r="47" ht="13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144"/>
      <x:c r="R47" s="144"/>
      <x:c r="S47" s="144"/>
      <x:c r="T47" s="144"/>
      <x:c r="U47" s="144"/>
      <x:c r="V47" s="144"/>
      <x:c r="W47" s="144"/>
      <x:c r="X47" s="144"/>
      <x:c r="Y47" s="144"/>
      <x:c r="Z47" s="2"/>
      <x:c r="AA47" s="2"/>
      <x:c r="AB47" s="2"/>
      <x:c r="AC47" s="2"/>
      <x:c r="AD47" s="2"/>
      <x:c r="AE47" s="144"/>
      <x:c r="AF47" s="144"/>
      <x:c r="AG47" s="144"/>
      <x:c r="AH47" s="144"/>
      <x:c r="AI47" s="144"/>
      <x:c r="AJ47" s="144"/>
      <x:c r="AK47" s="144"/>
      <x:c r="AL47" s="144"/>
      <x:c r="AM47" s="2"/>
      <x:c r="AN47" s="2"/>
      <x:c r="AO47" s="2"/>
      <x:c r="AP47" s="144"/>
      <x:c r="AQ47" s="144"/>
      <x:c r="AR47" s="144"/>
      <x:c r="AS47" s="144"/>
      <x:c r="AT47" s="144"/>
      <x:c r="AU47" s="144"/>
      <x:c r="AV47" s="144"/>
      <x:c r="AW47" s="144"/>
      <x:c r="AX47" s="144"/>
      <x:c r="AY47" s="2"/>
      <x:c r="AZ47" s="2"/>
    </x:row>
    <x:row r="48" ht="13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144"/>
      <x:c r="R48" s="144"/>
      <x:c r="S48" s="144"/>
      <x:c r="T48" s="144"/>
      <x:c r="U48" s="144"/>
      <x:c r="V48" s="144"/>
      <x:c r="W48" s="144"/>
      <x:c r="X48" s="144"/>
      <x:c r="Y48" s="144"/>
      <x:c r="Z48" s="2"/>
      <x:c r="AA48" s="2"/>
      <x:c r="AB48" s="2"/>
      <x:c r="AC48" s="2"/>
      <x:c r="AD48" s="2"/>
      <x:c r="AE48" s="144"/>
      <x:c r="AF48" s="144"/>
      <x:c r="AG48" s="144"/>
      <x:c r="AH48" s="144"/>
      <x:c r="AI48" s="144"/>
      <x:c r="AJ48" s="144"/>
      <x:c r="AK48" s="144"/>
      <x:c r="AL48" s="144"/>
      <x:c r="AM48" s="2"/>
      <x:c r="AN48" s="2"/>
      <x:c r="AO48" s="2"/>
      <x:c r="AP48" s="144"/>
      <x:c r="AQ48" s="144"/>
      <x:c r="AR48" s="144"/>
      <x:c r="AS48" s="144"/>
      <x:c r="AT48" s="144"/>
      <x:c r="AU48" s="144"/>
      <x:c r="AV48" s="144"/>
      <x:c r="AW48" s="144"/>
      <x:c r="AX48" s="144"/>
      <x:c r="AY48" s="2"/>
      <x:c r="AZ48" s="2"/>
    </x:row>
    <x:row r="49" ht="13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144"/>
      <x:c r="R49" s="144"/>
      <x:c r="S49" s="144"/>
      <x:c r="T49" s="144"/>
      <x:c r="U49" s="144"/>
      <x:c r="V49" s="144"/>
      <x:c r="W49" s="144"/>
      <x:c r="X49" s="144"/>
      <x:c r="Y49" s="144"/>
      <x:c r="Z49" s="2"/>
      <x:c r="AA49" s="2"/>
      <x:c r="AB49" s="2"/>
      <x:c r="AC49" s="2"/>
      <x:c r="AD49" s="2"/>
      <x:c r="AE49" s="144"/>
      <x:c r="AF49" s="144"/>
      <x:c r="AG49" s="144"/>
      <x:c r="AH49" s="144"/>
      <x:c r="AI49" s="144"/>
      <x:c r="AJ49" s="144"/>
      <x:c r="AK49" s="144"/>
      <x:c r="AL49" s="144"/>
      <x:c r="AM49" s="2"/>
      <x:c r="AN49" s="2"/>
      <x:c r="AO49" s="2"/>
      <x:c r="AP49" s="144"/>
      <x:c r="AQ49" s="144"/>
      <x:c r="AR49" s="144"/>
      <x:c r="AS49" s="144"/>
      <x:c r="AT49" s="144"/>
      <x:c r="AU49" s="144"/>
      <x:c r="AV49" s="144"/>
      <x:c r="AW49" s="144"/>
      <x:c r="AX49" s="144"/>
      <x:c r="AY49" s="2"/>
      <x:c r="AZ49" s="2"/>
    </x:row>
    <x:row r="50" ht="13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144"/>
      <x:c r="R50" s="144"/>
      <x:c r="S50" s="144"/>
      <x:c r="T50" s="144"/>
      <x:c r="U50" s="144"/>
      <x:c r="V50" s="144"/>
      <x:c r="W50" s="144"/>
      <x:c r="X50" s="144"/>
      <x:c r="Y50" s="144"/>
      <x:c r="Z50" s="2"/>
      <x:c r="AA50" s="2"/>
      <x:c r="AB50" s="2"/>
      <x:c r="AC50" s="2"/>
      <x:c r="AD50" s="2"/>
      <x:c r="AE50" s="144"/>
      <x:c r="AF50" s="144"/>
      <x:c r="AG50" s="144"/>
      <x:c r="AH50" s="144"/>
      <x:c r="AI50" s="144"/>
      <x:c r="AJ50" s="144"/>
      <x:c r="AK50" s="144"/>
      <x:c r="AL50" s="144"/>
      <x:c r="AM50" s="2"/>
      <x:c r="AN50" s="2"/>
      <x:c r="AO50" s="2"/>
      <x:c r="AP50" s="144"/>
      <x:c r="AQ50" s="144"/>
      <x:c r="AR50" s="144"/>
      <x:c r="AS50" s="144"/>
      <x:c r="AT50" s="144"/>
      <x:c r="AU50" s="144"/>
      <x:c r="AV50" s="144"/>
      <x:c r="AW50" s="144"/>
      <x:c r="AX50" s="144"/>
      <x:c r="AY50" s="2"/>
      <x:c r="AZ50" s="2"/>
    </x:row>
    <x:row r="51" ht="13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 ht="13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 ht="13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168" t="str">
        <x:v>IF-06 夜間／随時</x:v>
      </x:c>
      <x:c r="AJ53" s="168"/>
      <x:c r="AK53" s="168"/>
      <x:c r="AL53" s="168"/>
      <x:c r="AM53" s="168"/>
      <x:c r="AN53" s="168"/>
      <x:c r="AO53" s="168"/>
      <x:c r="AP53" s="168"/>
      <x:c r="AQ53" s="168"/>
      <x:c r="AR53" s="168"/>
      <x:c r="AS53" s="2"/>
      <x:c r="AT53" s="2"/>
      <x:c r="AU53" s="2"/>
      <x:c r="AV53" s="2"/>
      <x:c r="AW53" s="2"/>
      <x:c r="AX53" s="2"/>
      <x:c r="AY53" s="2"/>
      <x:c r="AZ53" s="2"/>
    </x:row>
    <x:row r="54" ht="13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168"/>
      <x:c r="AJ54" s="168"/>
      <x:c r="AK54" s="168"/>
      <x:c r="AL54" s="168"/>
      <x:c r="AM54" s="168"/>
      <x:c r="AN54" s="168"/>
      <x:c r="AO54" s="168"/>
      <x:c r="AP54" s="168"/>
      <x:c r="AQ54" s="168"/>
      <x:c r="AR54" s="168"/>
      <x:c r="AS54" s="2"/>
      <x:c r="AT54" s="2"/>
      <x:c r="AU54" s="2"/>
      <x:c r="AV54" s="2"/>
      <x:c r="AW54" s="2"/>
      <x:c r="AX54" s="2"/>
      <x:c r="AY54" s="2"/>
      <x:c r="AZ54" s="2"/>
    </x:row>
    <x:row r="55" ht="13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 ht="13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 ht="13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144" t="str">
        <x:v>&lt;&lt;external&gt;&gt;
会計システム
仕訳・支払</x:v>
      </x:c>
      <x:c r="AD57" s="144"/>
      <x:c r="AE57" s="144"/>
      <x:c r="AF57" s="144"/>
      <x:c r="AG57" s="144"/>
      <x:c r="AH57" s="144"/>
      <x:c r="AI57" s="144"/>
      <x:c r="AJ57" s="144"/>
      <x:c r="AK57" s="144"/>
      <x:c r="AL57" s="144"/>
      <x:c r="AM57" s="144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 ht="13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144"/>
      <x:c r="AD58" s="144"/>
      <x:c r="AE58" s="144"/>
      <x:c r="AF58" s="144"/>
      <x:c r="AG58" s="144"/>
      <x:c r="AH58" s="144"/>
      <x:c r="AI58" s="144"/>
      <x:c r="AJ58" s="144"/>
      <x:c r="AK58" s="144"/>
      <x:c r="AL58" s="144"/>
      <x:c r="AM58" s="144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 ht="13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144"/>
      <x:c r="AD59" s="144"/>
      <x:c r="AE59" s="144"/>
      <x:c r="AF59" s="144"/>
      <x:c r="AG59" s="144"/>
      <x:c r="AH59" s="144"/>
      <x:c r="AI59" s="144"/>
      <x:c r="AJ59" s="144"/>
      <x:c r="AK59" s="144"/>
      <x:c r="AL59" s="144"/>
      <x:c r="AM59" s="144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 ht="13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144"/>
      <x:c r="AD60" s="144"/>
      <x:c r="AE60" s="144"/>
      <x:c r="AF60" s="144"/>
      <x:c r="AG60" s="144"/>
      <x:c r="AH60" s="144"/>
      <x:c r="AI60" s="144"/>
      <x:c r="AJ60" s="144"/>
      <x:c r="AK60" s="144"/>
      <x:c r="AL60" s="144"/>
      <x:c r="AM60" s="144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 ht="13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144"/>
      <x:c r="AD61" s="144"/>
      <x:c r="AE61" s="144"/>
      <x:c r="AF61" s="144"/>
      <x:c r="AG61" s="144"/>
      <x:c r="AH61" s="144"/>
      <x:c r="AI61" s="144"/>
      <x:c r="AJ61" s="144"/>
      <x:c r="AK61" s="144"/>
      <x:c r="AL61" s="144"/>
      <x:c r="AM61" s="144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 ht="13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144"/>
      <x:c r="AD62" s="144"/>
      <x:c r="AE62" s="144"/>
      <x:c r="AF62" s="144"/>
      <x:c r="AG62" s="144"/>
      <x:c r="AH62" s="144"/>
      <x:c r="AI62" s="144"/>
      <x:c r="AJ62" s="144"/>
      <x:c r="AK62" s="144"/>
      <x:c r="AL62" s="144"/>
      <x:c r="AM62" s="144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 ht="13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144"/>
      <x:c r="AD63" s="144"/>
      <x:c r="AE63" s="144"/>
      <x:c r="AF63" s="144"/>
      <x:c r="AG63" s="144"/>
      <x:c r="AH63" s="144"/>
      <x:c r="AI63" s="144"/>
      <x:c r="AJ63" s="144"/>
      <x:c r="AK63" s="144"/>
      <x:c r="AL63" s="144"/>
      <x:c r="AM63" s="144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 ht="13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 ht="13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 ht="13.5" customHeight="1">
      <x:c r="A66" s="2"/>
      <x:c r="B66" s="2"/>
      <x:c r="C66" s="197" t="str">
        <x:v>ADR-001：業務整合性と状態更新はExpense APIに集約する。DB更新とイベント生成はTX-01で同時確定し、外部通知・会計連携はOutbox＋冪等コンシューマで再送可能にする。</x:v>
      </x:c>
      <x:c r="D66" s="198"/>
      <x:c r="E66" s="198"/>
      <x:c r="F66" s="198"/>
      <x:c r="G66" s="198"/>
      <x:c r="H66" s="198"/>
      <x:c r="I66" s="198"/>
      <x:c r="J66" s="198"/>
      <x:c r="K66" s="198"/>
      <x:c r="L66" s="198"/>
      <x:c r="M66" s="198"/>
      <x:c r="N66" s="198"/>
      <x:c r="O66" s="198"/>
      <x:c r="P66" s="198"/>
      <x:c r="Q66" s="198"/>
      <x:c r="R66" s="198"/>
      <x:c r="S66" s="198"/>
      <x:c r="T66" s="198"/>
      <x:c r="U66" s="198"/>
      <x:c r="V66" s="198"/>
      <x:c r="W66" s="198"/>
      <x:c r="X66" s="198"/>
      <x:c r="Y66" s="198"/>
      <x:c r="Z66" s="198"/>
      <x:c r="AA66" s="198"/>
      <x:c r="AB66" s="198"/>
      <x:c r="AC66" s="198"/>
      <x:c r="AD66" s="198"/>
      <x:c r="AE66" s="198"/>
      <x:c r="AF66" s="198"/>
      <x:c r="AG66" s="198"/>
      <x:c r="AH66" s="198"/>
      <x:c r="AI66" s="198"/>
      <x:c r="AJ66" s="198"/>
      <x:c r="AK66" s="198"/>
      <x:c r="AL66" s="198"/>
      <x:c r="AM66" s="198"/>
      <x:c r="AN66" s="198"/>
      <x:c r="AO66" s="198"/>
      <x:c r="AP66" s="198"/>
      <x:c r="AQ66" s="198"/>
      <x:c r="AR66" s="198"/>
      <x:c r="AS66" s="198"/>
      <x:c r="AT66" s="198"/>
      <x:c r="AU66" s="198"/>
      <x:c r="AV66" s="198"/>
      <x:c r="AW66" s="198"/>
      <x:c r="AX66" s="199"/>
      <x:c r="AY66" s="2"/>
      <x:c r="AZ66" s="2"/>
    </x:row>
    <x:row r="67" ht="13.5" customHeight="1">
      <x:c r="A67" s="2"/>
      <x:c r="B67" s="2"/>
      <x:c r="C67" s="200"/>
      <x:c r="D67" s="201"/>
      <x:c r="E67" s="201"/>
      <x:c r="F67" s="201"/>
      <x:c r="G67" s="201"/>
      <x:c r="H67" s="201"/>
      <x:c r="I67" s="201"/>
      <x:c r="J67" s="201"/>
      <x:c r="K67" s="201"/>
      <x:c r="L67" s="201"/>
      <x:c r="M67" s="201"/>
      <x:c r="N67" s="201"/>
      <x:c r="O67" s="201"/>
      <x:c r="P67" s="201"/>
      <x:c r="Q67" s="201"/>
      <x:c r="R67" s="201"/>
      <x:c r="S67" s="201"/>
      <x:c r="T67" s="201"/>
      <x:c r="U67" s="201"/>
      <x:c r="V67" s="201"/>
      <x:c r="W67" s="201"/>
      <x:c r="X67" s="201"/>
      <x:c r="Y67" s="201"/>
      <x:c r="Z67" s="201"/>
      <x:c r="AA67" s="201"/>
      <x:c r="AB67" s="201"/>
      <x:c r="AC67" s="201"/>
      <x:c r="AD67" s="201"/>
      <x:c r="AE67" s="201"/>
      <x:c r="AF67" s="201"/>
      <x:c r="AG67" s="201"/>
      <x:c r="AH67" s="201"/>
      <x:c r="AI67" s="201"/>
      <x:c r="AJ67" s="201"/>
      <x:c r="AK67" s="201"/>
      <x:c r="AL67" s="201"/>
      <x:c r="AM67" s="201"/>
      <x:c r="AN67" s="201"/>
      <x:c r="AO67" s="201"/>
      <x:c r="AP67" s="201"/>
      <x:c r="AQ67" s="201"/>
      <x:c r="AR67" s="201"/>
      <x:c r="AS67" s="201"/>
      <x:c r="AT67" s="201"/>
      <x:c r="AU67" s="201"/>
      <x:c r="AV67" s="201"/>
      <x:c r="AW67" s="201"/>
      <x:c r="AX67" s="202"/>
      <x:c r="AY67" s="2"/>
      <x:c r="AZ67" s="2"/>
    </x:row>
    <x:row r="68" ht="13.5" customHeight="1">
      <x:c r="A68" s="2"/>
      <x:c r="B68" s="2"/>
      <x:c r="C68" s="203"/>
      <x:c r="D68" s="204"/>
      <x:c r="E68" s="204"/>
      <x:c r="F68" s="204"/>
      <x:c r="G68" s="204"/>
      <x:c r="H68" s="204"/>
      <x:c r="I68" s="204"/>
      <x:c r="J68" s="204"/>
      <x:c r="K68" s="204"/>
      <x:c r="L68" s="204"/>
      <x:c r="M68" s="204"/>
      <x:c r="N68" s="204"/>
      <x:c r="O68" s="204"/>
      <x:c r="P68" s="204"/>
      <x:c r="Q68" s="204"/>
      <x:c r="R68" s="204"/>
      <x:c r="S68" s="204"/>
      <x:c r="T68" s="204"/>
      <x:c r="U68" s="204"/>
      <x:c r="V68" s="204"/>
      <x:c r="W68" s="204"/>
      <x:c r="X68" s="204"/>
      <x:c r="Y68" s="204"/>
      <x:c r="Z68" s="204"/>
      <x:c r="AA68" s="204"/>
      <x:c r="AB68" s="204"/>
      <x:c r="AC68" s="204"/>
      <x:c r="AD68" s="204"/>
      <x:c r="AE68" s="204"/>
      <x:c r="AF68" s="204"/>
      <x:c r="AG68" s="204"/>
      <x:c r="AH68" s="204"/>
      <x:c r="AI68" s="204"/>
      <x:c r="AJ68" s="204"/>
      <x:c r="AK68" s="204"/>
      <x:c r="AL68" s="204"/>
      <x:c r="AM68" s="204"/>
      <x:c r="AN68" s="204"/>
      <x:c r="AO68" s="204"/>
      <x:c r="AP68" s="204"/>
      <x:c r="AQ68" s="204"/>
      <x:c r="AR68" s="204"/>
      <x:c r="AS68" s="204"/>
      <x:c r="AT68" s="204"/>
      <x:c r="AU68" s="204"/>
      <x:c r="AV68" s="204"/>
      <x:c r="AW68" s="204"/>
      <x:c r="AX68" s="205"/>
      <x:c r="AY68" s="2"/>
      <x:c r="AZ68" s="2"/>
    </x:row>
    <x:row r="69" ht="13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 ht="13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 ht="13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 ht="13.5" customHeight="1">
      <x:c r="A72" s="2"/>
      <x:c r="B72" s="77" t="str">
        <x:v>1.3 外部I/F・障害設計</x:v>
      </x:c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78"/>
      <x:c r="U72" s="78"/>
      <x:c r="V72" s="78"/>
      <x:c r="W72" s="78"/>
      <x:c r="X72" s="78"/>
      <x:c r="Y72" s="78"/>
      <x:c r="Z72" s="78"/>
      <x:c r="AA72" s="78"/>
      <x:c r="AB72" s="78"/>
      <x:c r="AC72" s="78"/>
      <x:c r="AD72" s="78"/>
      <x:c r="AE72" s="78"/>
      <x:c r="AF72" s="78"/>
      <x:c r="AG72" s="78"/>
      <x:c r="AH72" s="78"/>
      <x:c r="AI72" s="78"/>
      <x:c r="AJ72" s="78"/>
      <x:c r="AK72" s="78"/>
      <x:c r="AL72" s="78"/>
      <x:c r="AM72" s="78"/>
      <x:c r="AN72" s="78"/>
      <x:c r="AO72" s="78"/>
      <x:c r="AP72" s="78"/>
      <x:c r="AQ72" s="78"/>
      <x:c r="AR72" s="78"/>
      <x:c r="AS72" s="78"/>
      <x:c r="AT72" s="78"/>
      <x:c r="AU72" s="78"/>
      <x:c r="AV72" s="78"/>
      <x:c r="AW72" s="78"/>
      <x:c r="AX72" s="79"/>
      <x:c r="AY72" s="2"/>
      <x:c r="AZ72" s="2"/>
    </x:row>
    <x:row r="73" ht="13.5" customHeight="1">
      <x:c r="A73" s="2"/>
      <x:c r="B73" s="80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  <x:c r="AA73" s="81"/>
      <x:c r="AB73" s="81"/>
      <x:c r="AC73" s="81"/>
      <x:c r="AD73" s="81"/>
      <x:c r="AE73" s="81"/>
      <x:c r="AF73" s="81"/>
      <x:c r="AG73" s="81"/>
      <x:c r="AH73" s="81"/>
      <x:c r="AI73" s="81"/>
      <x:c r="AJ73" s="81"/>
      <x:c r="AK73" s="81"/>
      <x:c r="AL73" s="81"/>
      <x:c r="AM73" s="81"/>
      <x:c r="AN73" s="81"/>
      <x:c r="AO73" s="81"/>
      <x:c r="AP73" s="81"/>
      <x:c r="AQ73" s="81"/>
      <x:c r="AR73" s="81"/>
      <x:c r="AS73" s="81"/>
      <x:c r="AT73" s="81"/>
      <x:c r="AU73" s="81"/>
      <x:c r="AV73" s="81"/>
      <x:c r="AW73" s="81"/>
      <x:c r="AX73" s="82"/>
      <x:c r="AY73" s="2"/>
      <x:c r="AZ73" s="2"/>
    </x:row>
    <x:row r="74" ht="13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 ht="13.5" customHeight="1">
      <x:c r="A75" s="2"/>
      <x:c r="B75" s="2"/>
      <x:c r="C75" s="127" t="str">
        <x:v>I/F ID</x:v>
      </x:c>
      <x:c r="D75" s="127"/>
      <x:c r="E75" s="127"/>
      <x:c r="F75" s="127"/>
      <x:c r="G75" s="127"/>
      <x:c r="H75" s="127" t="str">
        <x:v>送信元</x:v>
      </x:c>
      <x:c r="I75" s="127"/>
      <x:c r="J75" s="127"/>
      <x:c r="K75" s="127"/>
      <x:c r="L75" s="127"/>
      <x:c r="M75" s="127"/>
      <x:c r="N75" s="127"/>
      <x:c r="O75" s="127" t="str">
        <x:v>送信先</x:v>
      </x:c>
      <x:c r="P75" s="127"/>
      <x:c r="Q75" s="127"/>
      <x:c r="R75" s="127"/>
      <x:c r="S75" s="127"/>
      <x:c r="T75" s="127"/>
      <x:c r="U75" s="127"/>
      <x:c r="V75" s="127"/>
      <x:c r="W75" s="127" t="str">
        <x:v>方式</x:v>
      </x:c>
      <x:c r="X75" s="127"/>
      <x:c r="Y75" s="127"/>
      <x:c r="Z75" s="127"/>
      <x:c r="AA75" s="127"/>
      <x:c r="AB75" s="127"/>
      <x:c r="AC75" s="127"/>
      <x:c r="AD75" s="127"/>
      <x:c r="AE75" s="127" t="str">
        <x:v>Timeout</x:v>
      </x:c>
      <x:c r="AF75" s="127"/>
      <x:c r="AG75" s="127"/>
      <x:c r="AH75" s="127"/>
      <x:c r="AI75" s="127"/>
      <x:c r="AJ75" s="127" t="str">
        <x:v>Retry</x:v>
      </x:c>
      <x:c r="AK75" s="127"/>
      <x:c r="AL75" s="127"/>
      <x:c r="AM75" s="127"/>
      <x:c r="AN75" s="127"/>
      <x:c r="AO75" s="127" t="str">
        <x:v>失敗時の扱い</x:v>
      </x:c>
      <x:c r="AP75" s="127"/>
      <x:c r="AQ75" s="127"/>
      <x:c r="AR75" s="127"/>
      <x:c r="AS75" s="127"/>
      <x:c r="AT75" s="127"/>
      <x:c r="AU75" s="127"/>
      <x:c r="AV75" s="127"/>
      <x:c r="AW75" s="127"/>
      <x:c r="AX75" s="127"/>
      <x:c r="AY75" s="2"/>
      <x:c r="AZ75" s="2"/>
    </x:row>
    <x:row r="76" ht="13.5" customHeight="1">
      <x:c r="A76" s="2"/>
      <x:c r="B76" s="2"/>
      <x:c r="C76" s="210" t="str">
        <x:v>IF-01</x:v>
      </x:c>
      <x:c r="D76" s="210"/>
      <x:c r="E76" s="210"/>
      <x:c r="F76" s="210"/>
      <x:c r="G76" s="210"/>
      <x:c r="H76" s="210" t="str">
        <x:v>Browser</x:v>
      </x:c>
      <x:c r="I76" s="210"/>
      <x:c r="J76" s="210"/>
      <x:c r="K76" s="210"/>
      <x:c r="L76" s="210"/>
      <x:c r="M76" s="210"/>
      <x:c r="N76" s="210"/>
      <x:c r="O76" s="210" t="str">
        <x:v>Web UI</x:v>
      </x:c>
      <x:c r="P76" s="210"/>
      <x:c r="Q76" s="210"/>
      <x:c r="R76" s="210"/>
      <x:c r="S76" s="210"/>
      <x:c r="T76" s="210"/>
      <x:c r="U76" s="210"/>
      <x:c r="V76" s="210"/>
      <x:c r="W76" s="210" t="str">
        <x:v>HTTPS/TLS1.2+</x:v>
      </x:c>
      <x:c r="X76" s="210"/>
      <x:c r="Y76" s="210"/>
      <x:c r="Z76" s="210"/>
      <x:c r="AA76" s="210"/>
      <x:c r="AB76" s="210"/>
      <x:c r="AC76" s="210"/>
      <x:c r="AD76" s="210"/>
      <x:c r="AE76" s="210" t="str">
        <x:v>30秒</x:v>
      </x:c>
      <x:c r="AF76" s="210"/>
      <x:c r="AG76" s="210"/>
      <x:c r="AH76" s="210"/>
      <x:c r="AI76" s="210"/>
      <x:c r="AJ76" s="210" t="str">
        <x:v>なし</x:v>
      </x:c>
      <x:c r="AK76" s="210"/>
      <x:c r="AL76" s="210"/>
      <x:c r="AM76" s="210"/>
      <x:c r="AN76" s="210"/>
      <x:c r="AO76" s="210" t="str">
        <x:v>画面に再操作案内</x:v>
      </x:c>
      <x:c r="AP76" s="210"/>
      <x:c r="AQ76" s="210"/>
      <x:c r="AR76" s="210"/>
      <x:c r="AS76" s="210"/>
      <x:c r="AT76" s="210"/>
      <x:c r="AU76" s="210"/>
      <x:c r="AV76" s="210"/>
      <x:c r="AW76" s="210"/>
      <x:c r="AX76" s="210"/>
      <x:c r="AY76" s="2"/>
      <x:c r="AZ76" s="2"/>
    </x:row>
    <x:row r="77" ht="13.5" customHeight="1">
      <x:c r="A77" s="2"/>
      <x:c r="B77" s="2"/>
      <x:c r="C77" s="210" t="str">
        <x:v>IF-02</x:v>
      </x:c>
      <x:c r="D77" s="210"/>
      <x:c r="E77" s="210"/>
      <x:c r="F77" s="210"/>
      <x:c r="G77" s="210"/>
      <x:c r="H77" s="210" t="str">
        <x:v>Web UI</x:v>
      </x:c>
      <x:c r="I77" s="210"/>
      <x:c r="J77" s="210"/>
      <x:c r="K77" s="210"/>
      <x:c r="L77" s="210"/>
      <x:c r="M77" s="210"/>
      <x:c r="N77" s="210"/>
      <x:c r="O77" s="210" t="str">
        <x:v>Expense API</x:v>
      </x:c>
      <x:c r="P77" s="210"/>
      <x:c r="Q77" s="210"/>
      <x:c r="R77" s="210"/>
      <x:c r="S77" s="210"/>
      <x:c r="T77" s="210"/>
      <x:c r="U77" s="210"/>
      <x:c r="V77" s="210"/>
      <x:c r="W77" s="210" t="str">
        <x:v>REST/JSON</x:v>
      </x:c>
      <x:c r="X77" s="210"/>
      <x:c r="Y77" s="210"/>
      <x:c r="Z77" s="210"/>
      <x:c r="AA77" s="210"/>
      <x:c r="AB77" s="210"/>
      <x:c r="AC77" s="210"/>
      <x:c r="AD77" s="210"/>
      <x:c r="AE77" s="210" t="str">
        <x:v>3秒</x:v>
      </x:c>
      <x:c r="AF77" s="210"/>
      <x:c r="AG77" s="210"/>
      <x:c r="AH77" s="210"/>
      <x:c r="AI77" s="210"/>
      <x:c r="AJ77" s="210" t="str">
        <x:v>1回</x:v>
      </x:c>
      <x:c r="AK77" s="210"/>
      <x:c r="AL77" s="210"/>
      <x:c r="AM77" s="210"/>
      <x:c r="AN77" s="210"/>
      <x:c r="AO77" s="210" t="str">
        <x:v>Idempotency-Keyで安全に再送</x:v>
      </x:c>
      <x:c r="AP77" s="210"/>
      <x:c r="AQ77" s="210"/>
      <x:c r="AR77" s="210"/>
      <x:c r="AS77" s="210"/>
      <x:c r="AT77" s="210"/>
      <x:c r="AU77" s="210"/>
      <x:c r="AV77" s="210"/>
      <x:c r="AW77" s="210"/>
      <x:c r="AX77" s="210"/>
      <x:c r="AY77" s="2"/>
      <x:c r="AZ77" s="2"/>
    </x:row>
    <x:row r="78" ht="13.5" customHeight="1">
      <x:c r="A78" s="2"/>
      <x:c r="B78" s="2"/>
      <x:c r="C78" s="210" t="str">
        <x:v>IF-03</x:v>
      </x:c>
      <x:c r="D78" s="210"/>
      <x:c r="E78" s="210"/>
      <x:c r="F78" s="210"/>
      <x:c r="G78" s="210"/>
      <x:c r="H78" s="210" t="str">
        <x:v>Expense API</x:v>
      </x:c>
      <x:c r="I78" s="210"/>
      <x:c r="J78" s="210"/>
      <x:c r="K78" s="210"/>
      <x:c r="L78" s="210"/>
      <x:c r="M78" s="210"/>
      <x:c r="N78" s="210"/>
      <x:c r="O78" s="210" t="str">
        <x:v>認証基盤</x:v>
      </x:c>
      <x:c r="P78" s="210"/>
      <x:c r="Q78" s="210"/>
      <x:c r="R78" s="210"/>
      <x:c r="S78" s="210"/>
      <x:c r="T78" s="210"/>
      <x:c r="U78" s="210"/>
      <x:c r="V78" s="210"/>
      <x:c r="W78" s="210" t="str">
        <x:v>OIDC/JWT</x:v>
      </x:c>
      <x:c r="X78" s="210"/>
      <x:c r="Y78" s="210"/>
      <x:c r="Z78" s="210"/>
      <x:c r="AA78" s="210"/>
      <x:c r="AB78" s="210"/>
      <x:c r="AC78" s="210"/>
      <x:c r="AD78" s="210"/>
      <x:c r="AE78" s="210" t="str">
        <x:v>2秒</x:v>
      </x:c>
      <x:c r="AF78" s="210"/>
      <x:c r="AG78" s="210"/>
      <x:c r="AH78" s="210"/>
      <x:c r="AI78" s="210"/>
      <x:c r="AJ78" s="210" t="str">
        <x:v>なし</x:v>
      </x:c>
      <x:c r="AK78" s="210"/>
      <x:c r="AL78" s="210"/>
      <x:c r="AM78" s="210"/>
      <x:c r="AN78" s="210"/>
      <x:c r="AO78" s="210" t="str">
        <x:v>401、認証画面へ遷移</x:v>
      </x:c>
      <x:c r="AP78" s="210"/>
      <x:c r="AQ78" s="210"/>
      <x:c r="AR78" s="210"/>
      <x:c r="AS78" s="210"/>
      <x:c r="AT78" s="210"/>
      <x:c r="AU78" s="210"/>
      <x:c r="AV78" s="210"/>
      <x:c r="AW78" s="210"/>
      <x:c r="AX78" s="210"/>
      <x:c r="AY78" s="2"/>
      <x:c r="AZ78" s="2"/>
    </x:row>
    <x:row r="79" ht="13.5" customHeight="1">
      <x:c r="A79" s="2"/>
      <x:c r="B79" s="2"/>
      <x:c r="C79" s="210" t="str">
        <x:v>IF-04</x:v>
      </x:c>
      <x:c r="D79" s="210"/>
      <x:c r="E79" s="210"/>
      <x:c r="F79" s="210"/>
      <x:c r="G79" s="210"/>
      <x:c r="H79" s="210" t="str">
        <x:v>Expense API</x:v>
      </x:c>
      <x:c r="I79" s="210"/>
      <x:c r="J79" s="210"/>
      <x:c r="K79" s="210"/>
      <x:c r="L79" s="210"/>
      <x:c r="M79" s="210"/>
      <x:c r="N79" s="210"/>
      <x:c r="O79" s="210" t="str">
        <x:v>承認Service</x:v>
      </x:c>
      <x:c r="P79" s="210"/>
      <x:c r="Q79" s="210"/>
      <x:c r="R79" s="210"/>
      <x:c r="S79" s="210"/>
      <x:c r="T79" s="210"/>
      <x:c r="U79" s="210"/>
      <x:c r="V79" s="210"/>
      <x:c r="W79" s="210" t="str">
        <x:v>内部REST</x:v>
      </x:c>
      <x:c r="X79" s="210"/>
      <x:c r="Y79" s="210"/>
      <x:c r="Z79" s="210"/>
      <x:c r="AA79" s="210"/>
      <x:c r="AB79" s="210"/>
      <x:c r="AC79" s="210"/>
      <x:c r="AD79" s="210"/>
      <x:c r="AE79" s="210" t="str">
        <x:v>2秒</x:v>
      </x:c>
      <x:c r="AF79" s="210"/>
      <x:c r="AG79" s="210"/>
      <x:c r="AH79" s="210"/>
      <x:c r="AI79" s="210"/>
      <x:c r="AJ79" s="210" t="str">
        <x:v>2回</x:v>
      </x:c>
      <x:c r="AK79" s="210"/>
      <x:c r="AL79" s="210"/>
      <x:c r="AM79" s="210"/>
      <x:c r="AN79" s="210"/>
      <x:c r="AO79" s="210" t="str">
        <x:v>Outboxへ退避、PENDING維持</x:v>
      </x:c>
      <x:c r="AP79" s="210"/>
      <x:c r="AQ79" s="210"/>
      <x:c r="AR79" s="210"/>
      <x:c r="AS79" s="210"/>
      <x:c r="AT79" s="210"/>
      <x:c r="AU79" s="210"/>
      <x:c r="AV79" s="210"/>
      <x:c r="AW79" s="210"/>
      <x:c r="AX79" s="210"/>
      <x:c r="AY79" s="2"/>
      <x:c r="AZ79" s="2"/>
    </x:row>
    <x:row r="80" ht="13.5" customHeight="1">
      <x:c r="A80" s="2"/>
      <x:c r="B80" s="2"/>
      <x:c r="C80" s="210" t="str">
        <x:v>IF-05</x:v>
      </x:c>
      <x:c r="D80" s="210"/>
      <x:c r="E80" s="210"/>
      <x:c r="F80" s="210"/>
      <x:c r="G80" s="210"/>
      <x:c r="H80" s="210" t="str">
        <x:v>Outbox Worker</x:v>
      </x:c>
      <x:c r="I80" s="210"/>
      <x:c r="J80" s="210"/>
      <x:c r="K80" s="210"/>
      <x:c r="L80" s="210"/>
      <x:c r="M80" s="210"/>
      <x:c r="N80" s="210"/>
      <x:c r="O80" s="210" t="str">
        <x:v>Event Bus</x:v>
      </x:c>
      <x:c r="P80" s="210"/>
      <x:c r="Q80" s="210"/>
      <x:c r="R80" s="210"/>
      <x:c r="S80" s="210"/>
      <x:c r="T80" s="210"/>
      <x:c r="U80" s="210"/>
      <x:c r="V80" s="210"/>
      <x:c r="W80" s="210" t="str">
        <x:v>AMQP</x:v>
      </x:c>
      <x:c r="X80" s="210"/>
      <x:c r="Y80" s="210"/>
      <x:c r="Z80" s="210"/>
      <x:c r="AA80" s="210"/>
      <x:c r="AB80" s="210"/>
      <x:c r="AC80" s="210"/>
      <x:c r="AD80" s="210"/>
      <x:c r="AE80" s="210" t="str">
        <x:v>5秒</x:v>
      </x:c>
      <x:c r="AF80" s="210"/>
      <x:c r="AG80" s="210"/>
      <x:c r="AH80" s="210"/>
      <x:c r="AI80" s="210"/>
      <x:c r="AJ80" s="210" t="str">
        <x:v>最大5回</x:v>
      </x:c>
      <x:c r="AK80" s="210"/>
      <x:c r="AL80" s="210"/>
      <x:c r="AM80" s="210"/>
      <x:c r="AN80" s="210"/>
      <x:c r="AO80" s="210" t="str">
        <x:v>DLQ、OPS-ALM-02発報</x:v>
      </x:c>
      <x:c r="AP80" s="210"/>
      <x:c r="AQ80" s="210"/>
      <x:c r="AR80" s="210"/>
      <x:c r="AS80" s="210"/>
      <x:c r="AT80" s="210"/>
      <x:c r="AU80" s="210"/>
      <x:c r="AV80" s="210"/>
      <x:c r="AW80" s="210"/>
      <x:c r="AX80" s="210"/>
      <x:c r="AY80" s="2"/>
      <x:c r="AZ80" s="2"/>
    </x:row>
    <x:row r="81" ht="13.5" customHeight="1">
      <x:c r="A81" s="2"/>
      <x:c r="B81" s="2"/>
      <x:c r="C81" s="210" t="str">
        <x:v>IF-06</x:v>
      </x:c>
      <x:c r="D81" s="210"/>
      <x:c r="E81" s="210"/>
      <x:c r="F81" s="210"/>
      <x:c r="G81" s="210"/>
      <x:c r="H81" s="210" t="str">
        <x:v>Expense API</x:v>
      </x:c>
      <x:c r="I81" s="210"/>
      <x:c r="J81" s="210"/>
      <x:c r="K81" s="210"/>
      <x:c r="L81" s="210"/>
      <x:c r="M81" s="210"/>
      <x:c r="N81" s="210"/>
      <x:c r="O81" s="210" t="str">
        <x:v>会計System</x:v>
      </x:c>
      <x:c r="P81" s="210"/>
      <x:c r="Q81" s="210"/>
      <x:c r="R81" s="210"/>
      <x:c r="S81" s="210"/>
      <x:c r="T81" s="210"/>
      <x:c r="U81" s="210"/>
      <x:c r="V81" s="210"/>
      <x:c r="W81" s="210" t="str">
        <x:v>REST/Batch</x:v>
      </x:c>
      <x:c r="X81" s="210"/>
      <x:c r="Y81" s="210"/>
      <x:c r="Z81" s="210"/>
      <x:c r="AA81" s="210"/>
      <x:c r="AB81" s="210"/>
      <x:c r="AC81" s="210"/>
      <x:c r="AD81" s="210"/>
      <x:c r="AE81" s="210" t="str">
        <x:v>10秒</x:v>
      </x:c>
      <x:c r="AF81" s="210"/>
      <x:c r="AG81" s="210"/>
      <x:c r="AH81" s="210"/>
      <x:c r="AI81" s="210"/>
      <x:c r="AJ81" s="210" t="str">
        <x:v>最大5回</x:v>
      </x:c>
      <x:c r="AK81" s="210"/>
      <x:c r="AL81" s="210"/>
      <x:c r="AM81" s="210"/>
      <x:c r="AN81" s="210"/>
      <x:c r="AO81" s="210" t="str">
        <x:v>ERROR遷移、手動再送</x:v>
      </x:c>
      <x:c r="AP81" s="210"/>
      <x:c r="AQ81" s="210"/>
      <x:c r="AR81" s="210"/>
      <x:c r="AS81" s="210"/>
      <x:c r="AT81" s="210"/>
      <x:c r="AU81" s="210"/>
      <x:c r="AV81" s="210"/>
      <x:c r="AW81" s="210"/>
      <x:c r="AX81" s="210"/>
      <x:c r="AY81" s="2"/>
      <x:c r="AZ81" s="2"/>
    </x:row>
    <x:row r="82" ht="13.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C83" s="239" t="str">
        <x:v>責任分界：IF-01〜05は当システム主管、IF-06の接続先仕様・停止時間帯は会計システム主管。詳細SLO・運用手順は08_非機能・運用を参照。</x:v>
      </x:c>
      <x:c r="D83" s="240"/>
      <x:c r="E83" s="240"/>
      <x:c r="F83" s="240"/>
      <x:c r="G83" s="240"/>
      <x:c r="H83" s="240"/>
      <x:c r="I83" s="240"/>
      <x:c r="J83" s="240"/>
      <x:c r="K83" s="240"/>
      <x:c r="L83" s="240"/>
      <x:c r="M83" s="240"/>
      <x:c r="N83" s="240"/>
      <x:c r="O83" s="240"/>
      <x:c r="P83" s="240"/>
      <x:c r="Q83" s="240"/>
      <x:c r="R83" s="240"/>
      <x:c r="S83" s="240"/>
      <x:c r="T83" s="240"/>
      <x:c r="U83" s="240"/>
      <x:c r="V83" s="240"/>
      <x:c r="W83" s="240"/>
      <x:c r="X83" s="240"/>
      <x:c r="Y83" s="240"/>
      <x:c r="Z83" s="240"/>
      <x:c r="AA83" s="240"/>
      <x:c r="AB83" s="240"/>
      <x:c r="AC83" s="240"/>
      <x:c r="AD83" s="240"/>
      <x:c r="AE83" s="240"/>
      <x:c r="AF83" s="240"/>
      <x:c r="AG83" s="240"/>
      <x:c r="AH83" s="240"/>
      <x:c r="AI83" s="240"/>
      <x:c r="AJ83" s="240"/>
      <x:c r="AK83" s="240"/>
      <x:c r="AL83" s="240"/>
      <x:c r="AM83" s="240"/>
      <x:c r="AN83" s="240"/>
      <x:c r="AO83" s="240"/>
      <x:c r="AP83" s="240"/>
      <x:c r="AQ83" s="240"/>
      <x:c r="AR83" s="240"/>
      <x:c r="AS83" s="240"/>
      <x:c r="AT83" s="240"/>
      <x:c r="AU83" s="240"/>
      <x:c r="AV83" s="240"/>
      <x:c r="AW83" s="240"/>
      <x:c r="AX83" s="241"/>
    </x:row>
    <x:row r="84">
      <x:c r="C84" s="242"/>
      <x:c r="D84" s="243"/>
      <x:c r="E84" s="243"/>
      <x:c r="F84" s="243"/>
      <x:c r="G84" s="243"/>
      <x:c r="H84" s="243"/>
      <x:c r="I84" s="243"/>
      <x:c r="J84" s="243"/>
      <x:c r="K84" s="243"/>
      <x:c r="L84" s="243"/>
      <x:c r="M84" s="243"/>
      <x:c r="N84" s="243"/>
      <x:c r="O84" s="243"/>
      <x:c r="P84" s="243"/>
      <x:c r="Q84" s="243"/>
      <x:c r="R84" s="243"/>
      <x:c r="S84" s="243"/>
      <x:c r="T84" s="243"/>
      <x:c r="U84" s="243"/>
      <x:c r="V84" s="243"/>
      <x:c r="W84" s="243"/>
      <x:c r="X84" s="243"/>
      <x:c r="Y84" s="243"/>
      <x:c r="Z84" s="243"/>
      <x:c r="AA84" s="243"/>
      <x:c r="AB84" s="243"/>
      <x:c r="AC84" s="243"/>
      <x:c r="AD84" s="243"/>
      <x:c r="AE84" s="243"/>
      <x:c r="AF84" s="243"/>
      <x:c r="AG84" s="243"/>
      <x:c r="AH84" s="243"/>
      <x:c r="AI84" s="243"/>
      <x:c r="AJ84" s="243"/>
      <x:c r="AK84" s="243"/>
      <x:c r="AL84" s="243"/>
      <x:c r="AM84" s="243"/>
      <x:c r="AN84" s="243"/>
      <x:c r="AO84" s="243"/>
      <x:c r="AP84" s="243"/>
      <x:c r="AQ84" s="243"/>
      <x:c r="AR84" s="243"/>
      <x:c r="AS84" s="243"/>
      <x:c r="AT84" s="243"/>
      <x:c r="AU84" s="243"/>
      <x:c r="AV84" s="243"/>
      <x:c r="AW84" s="243"/>
      <x:c r="AX84" s="244"/>
    </x:row>
    <x:row r="85">
      <x:c r="C85" s="245"/>
      <x:c r="D85" s="246"/>
      <x:c r="E85" s="246"/>
      <x:c r="F85" s="246"/>
      <x:c r="G85" s="246"/>
      <x:c r="H85" s="246"/>
      <x:c r="I85" s="246"/>
      <x:c r="J85" s="246"/>
      <x:c r="K85" s="246"/>
      <x:c r="L85" s="246"/>
      <x:c r="M85" s="246"/>
      <x:c r="N85" s="246"/>
      <x:c r="O85" s="246"/>
      <x:c r="P85" s="246"/>
      <x:c r="Q85" s="246"/>
      <x:c r="R85" s="246"/>
      <x:c r="S85" s="246"/>
      <x:c r="T85" s="246"/>
      <x:c r="U85" s="246"/>
      <x:c r="V85" s="246"/>
      <x:c r="W85" s="246"/>
      <x:c r="X85" s="246"/>
      <x:c r="Y85" s="246"/>
      <x:c r="Z85" s="246"/>
      <x:c r="AA85" s="246"/>
      <x:c r="AB85" s="246"/>
      <x:c r="AC85" s="246"/>
      <x:c r="AD85" s="246"/>
      <x:c r="AE85" s="246"/>
      <x:c r="AF85" s="246"/>
      <x:c r="AG85" s="246"/>
      <x:c r="AH85" s="246"/>
      <x:c r="AI85" s="246"/>
      <x:c r="AJ85" s="246"/>
      <x:c r="AK85" s="246"/>
      <x:c r="AL85" s="246"/>
      <x:c r="AM85" s="246"/>
      <x:c r="AN85" s="246"/>
      <x:c r="AO85" s="246"/>
      <x:c r="AP85" s="246"/>
      <x:c r="AQ85" s="246"/>
      <x:c r="AR85" s="246"/>
      <x:c r="AS85" s="246"/>
      <x:c r="AT85" s="246"/>
      <x:c r="AU85" s="246"/>
      <x:c r="AV85" s="246"/>
      <x:c r="AW85" s="246"/>
      <x:c r="AX85" s="247"/>
    </x:row>
    <x:row r="88">
      <x:c r="B88" s="268" t="str">
        <x:v>1.4 設計サマリー</x:v>
      </x:c>
      <x:c r="C88" s="269"/>
      <x:c r="D88" s="269"/>
      <x:c r="E88" s="269"/>
      <x:c r="F88" s="269"/>
      <x:c r="G88" s="269"/>
      <x:c r="H88" s="269"/>
      <x:c r="I88" s="269"/>
      <x:c r="J88" s="269"/>
      <x:c r="K88" s="269"/>
      <x:c r="L88" s="269"/>
      <x:c r="M88" s="269"/>
      <x:c r="N88" s="269"/>
      <x:c r="O88" s="269"/>
      <x:c r="P88" s="269"/>
      <x:c r="Q88" s="269"/>
      <x:c r="R88" s="269"/>
      <x:c r="S88" s="269"/>
      <x:c r="T88" s="269"/>
      <x:c r="U88" s="269"/>
      <x:c r="V88" s="269"/>
      <x:c r="W88" s="269"/>
      <x:c r="X88" s="269"/>
      <x:c r="Y88" s="269"/>
      <x:c r="Z88" s="269"/>
      <x:c r="AA88" s="269"/>
      <x:c r="AB88" s="269"/>
      <x:c r="AC88" s="269"/>
      <x:c r="AD88" s="269"/>
      <x:c r="AE88" s="269"/>
      <x:c r="AF88" s="269"/>
      <x:c r="AG88" s="269"/>
      <x:c r="AH88" s="269"/>
      <x:c r="AI88" s="269"/>
      <x:c r="AJ88" s="269"/>
      <x:c r="AK88" s="269"/>
      <x:c r="AL88" s="269"/>
      <x:c r="AM88" s="269"/>
      <x:c r="AN88" s="269"/>
      <x:c r="AO88" s="269"/>
      <x:c r="AP88" s="269"/>
      <x:c r="AQ88" s="269"/>
      <x:c r="AR88" s="269"/>
      <x:c r="AS88" s="269"/>
      <x:c r="AT88" s="269"/>
      <x:c r="AU88" s="269"/>
      <x:c r="AV88" s="269"/>
      <x:c r="AW88" s="269"/>
      <x:c r="AX88" s="270"/>
    </x:row>
    <x:row r="89">
      <x:c r="B89" s="271"/>
      <x:c r="C89" s="272"/>
      <x:c r="D89" s="272"/>
      <x:c r="E89" s="272"/>
      <x:c r="F89" s="272"/>
      <x:c r="G89" s="272"/>
      <x:c r="H89" s="272"/>
      <x:c r="I89" s="272"/>
      <x:c r="J89" s="272"/>
      <x:c r="K89" s="272"/>
      <x:c r="L89" s="272"/>
      <x:c r="M89" s="272"/>
      <x:c r="N89" s="272"/>
      <x:c r="O89" s="272"/>
      <x:c r="P89" s="272"/>
      <x:c r="Q89" s="272"/>
      <x:c r="R89" s="272"/>
      <x:c r="S89" s="272"/>
      <x:c r="T89" s="272"/>
      <x:c r="U89" s="272"/>
      <x:c r="V89" s="272"/>
      <x:c r="W89" s="272"/>
      <x:c r="X89" s="272"/>
      <x:c r="Y89" s="272"/>
      <x:c r="Z89" s="272"/>
      <x:c r="AA89" s="272"/>
      <x:c r="AB89" s="272"/>
      <x:c r="AC89" s="272"/>
      <x:c r="AD89" s="272"/>
      <x:c r="AE89" s="272"/>
      <x:c r="AF89" s="272"/>
      <x:c r="AG89" s="272"/>
      <x:c r="AH89" s="272"/>
      <x:c r="AI89" s="272"/>
      <x:c r="AJ89" s="272"/>
      <x:c r="AK89" s="272"/>
      <x:c r="AL89" s="272"/>
      <x:c r="AM89" s="272"/>
      <x:c r="AN89" s="272"/>
      <x:c r="AO89" s="272"/>
      <x:c r="AP89" s="272"/>
      <x:c r="AQ89" s="272"/>
      <x:c r="AR89" s="272"/>
      <x:c r="AS89" s="272"/>
      <x:c r="AT89" s="272"/>
      <x:c r="AU89" s="272"/>
      <x:c r="AV89" s="272"/>
      <x:c r="AW89" s="272"/>
      <x:c r="AX89" s="273"/>
    </x:row>
    <x:row r="91">
      <x:c r="C91" s="279" t="str">
        <x:v>API本数</x:v>
      </x:c>
      <x:c r="D91" s="279"/>
      <x:c r="E91" s="279"/>
      <x:c r="F91" s="279"/>
      <x:c r="G91" s="279"/>
      <x:c r="H91" s="279"/>
      <x:c r="I91" s="279"/>
      <x:c r="J91" s="279"/>
      <x:c r="K91" s="279"/>
      <x:c r="L91" s="279"/>
      <x:c r="M91" s="307" t="n">
        <x:f>COUNTA('06_API・データ'!A9:A15)</x:f>
        <x:v>7</x:v>
      </x:c>
      <x:c r="N91" s="308"/>
      <x:c r="O91" s="308"/>
      <x:c r="P91" s="308"/>
      <x:c r="Q91" s="308"/>
      <x:c r="R91" s="309"/>
      <x:c r="U91" s="321" t="str">
        <x:v>テスト件数</x:v>
      </x:c>
      <x:c r="V91" s="321"/>
      <x:c r="W91" s="321"/>
      <x:c r="X91" s="321"/>
      <x:c r="Y91" s="321"/>
      <x:c r="Z91" s="321"/>
      <x:c r="AA91" s="321"/>
      <x:c r="AB91" s="321"/>
      <x:c r="AC91" s="321"/>
      <x:c r="AD91" s="321"/>
      <x:c r="AE91" s="349" t="n">
        <x:f>COUNTA('07_テストシナリオ'!A9:A17)</x:f>
        <x:v>9</x:v>
      </x:c>
      <x:c r="AF91" s="350"/>
      <x:c r="AG91" s="350"/>
      <x:c r="AH91" s="350"/>
      <x:c r="AI91" s="350"/>
      <x:c r="AJ91" s="351"/>
      <x:c r="AM91" s="363" t="str">
        <x:v>状態数</x:v>
      </x:c>
      <x:c r="AN91" s="363"/>
      <x:c r="AO91" s="363"/>
      <x:c r="AP91" s="363"/>
      <x:c r="AQ91" s="363"/>
      <x:c r="AR91" s="363"/>
      <x:c r="AS91" s="363"/>
      <x:c r="AT91" s="363"/>
      <x:c r="AU91" s="391" t="str">
        <x:v>9</x:v>
      </x:c>
      <x:c r="AV91" s="392"/>
      <x:c r="AW91" s="392"/>
      <x:c r="AX91" s="393"/>
    </x:row>
    <x:row r="92">
      <x:c r="C92" s="279"/>
      <x:c r="D92" s="279"/>
      <x:c r="E92" s="279"/>
      <x:c r="F92" s="279"/>
      <x:c r="G92" s="279"/>
      <x:c r="H92" s="279"/>
      <x:c r="I92" s="279"/>
      <x:c r="J92" s="279"/>
      <x:c r="K92" s="279"/>
      <x:c r="L92" s="279"/>
      <x:c r="M92" s="310"/>
      <x:c r="N92" s="311"/>
      <x:c r="O92" s="311"/>
      <x:c r="P92" s="311"/>
      <x:c r="Q92" s="311"/>
      <x:c r="R92" s="312"/>
      <x:c r="U92" s="321"/>
      <x:c r="V92" s="321"/>
      <x:c r="W92" s="321"/>
      <x:c r="X92" s="321"/>
      <x:c r="Y92" s="321"/>
      <x:c r="Z92" s="321"/>
      <x:c r="AA92" s="321"/>
      <x:c r="AB92" s="321"/>
      <x:c r="AC92" s="321"/>
      <x:c r="AD92" s="321"/>
      <x:c r="AE92" s="352"/>
      <x:c r="AF92" s="353"/>
      <x:c r="AG92" s="353"/>
      <x:c r="AH92" s="353"/>
      <x:c r="AI92" s="353"/>
      <x:c r="AJ92" s="354"/>
      <x:c r="AM92" s="363"/>
      <x:c r="AN92" s="363"/>
      <x:c r="AO92" s="363"/>
      <x:c r="AP92" s="363"/>
      <x:c r="AQ92" s="363"/>
      <x:c r="AR92" s="363"/>
      <x:c r="AS92" s="363"/>
      <x:c r="AT92" s="363"/>
      <x:c r="AU92" s="394"/>
      <x:c r="AV92" s="395"/>
      <x:c r="AW92" s="395"/>
      <x:c r="AX92" s="396"/>
    </x:row>
    <x:row r="93">
      <x:c r="C93" s="279"/>
      <x:c r="D93" s="279"/>
      <x:c r="E93" s="279"/>
      <x:c r="F93" s="279"/>
      <x:c r="G93" s="279"/>
      <x:c r="H93" s="279"/>
      <x:c r="I93" s="279"/>
      <x:c r="J93" s="279"/>
      <x:c r="K93" s="279"/>
      <x:c r="L93" s="279"/>
      <x:c r="M93" s="310"/>
      <x:c r="N93" s="311"/>
      <x:c r="O93" s="311"/>
      <x:c r="P93" s="311"/>
      <x:c r="Q93" s="311"/>
      <x:c r="R93" s="312"/>
      <x:c r="U93" s="321"/>
      <x:c r="V93" s="321"/>
      <x:c r="W93" s="321"/>
      <x:c r="X93" s="321"/>
      <x:c r="Y93" s="321"/>
      <x:c r="Z93" s="321"/>
      <x:c r="AA93" s="321"/>
      <x:c r="AB93" s="321"/>
      <x:c r="AC93" s="321"/>
      <x:c r="AD93" s="321"/>
      <x:c r="AE93" s="352"/>
      <x:c r="AF93" s="353"/>
      <x:c r="AG93" s="353"/>
      <x:c r="AH93" s="353"/>
      <x:c r="AI93" s="353"/>
      <x:c r="AJ93" s="354"/>
      <x:c r="AM93" s="363"/>
      <x:c r="AN93" s="363"/>
      <x:c r="AO93" s="363"/>
      <x:c r="AP93" s="363"/>
      <x:c r="AQ93" s="363"/>
      <x:c r="AR93" s="363"/>
      <x:c r="AS93" s="363"/>
      <x:c r="AT93" s="363"/>
      <x:c r="AU93" s="394"/>
      <x:c r="AV93" s="395"/>
      <x:c r="AW93" s="395"/>
      <x:c r="AX93" s="396"/>
    </x:row>
    <x:row r="94">
      <x:c r="C94" s="279"/>
      <x:c r="D94" s="279"/>
      <x:c r="E94" s="279"/>
      <x:c r="F94" s="279"/>
      <x:c r="G94" s="279"/>
      <x:c r="H94" s="279"/>
      <x:c r="I94" s="279"/>
      <x:c r="J94" s="279"/>
      <x:c r="K94" s="279"/>
      <x:c r="L94" s="279"/>
      <x:c r="M94" s="313"/>
      <x:c r="N94" s="314"/>
      <x:c r="O94" s="314"/>
      <x:c r="P94" s="314"/>
      <x:c r="Q94" s="314"/>
      <x:c r="R94" s="315"/>
      <x:c r="U94" s="321"/>
      <x:c r="V94" s="321"/>
      <x:c r="W94" s="321"/>
      <x:c r="X94" s="321"/>
      <x:c r="Y94" s="321"/>
      <x:c r="Z94" s="321"/>
      <x:c r="AA94" s="321"/>
      <x:c r="AB94" s="321"/>
      <x:c r="AC94" s="321"/>
      <x:c r="AD94" s="321"/>
      <x:c r="AE94" s="355"/>
      <x:c r="AF94" s="356"/>
      <x:c r="AG94" s="356"/>
      <x:c r="AH94" s="356"/>
      <x:c r="AI94" s="356"/>
      <x:c r="AJ94" s="357"/>
      <x:c r="AM94" s="363"/>
      <x:c r="AN94" s="363"/>
      <x:c r="AO94" s="363"/>
      <x:c r="AP94" s="363"/>
      <x:c r="AQ94" s="363"/>
      <x:c r="AR94" s="363"/>
      <x:c r="AS94" s="363"/>
      <x:c r="AT94" s="363"/>
      <x:c r="AU94" s="397"/>
      <x:c r="AV94" s="398"/>
      <x:c r="AW94" s="398"/>
      <x:c r="AX94" s="399"/>
    </x:row>
  </x:sheetData>
  <x:mergeCells>
    <x:mergeCell ref="A1:AZ2"/>
    <x:mergeCell ref="A3:AZ3"/>
    <x:mergeCell ref="A4:L4"/>
    <x:mergeCell ref="M4:R4"/>
    <x:mergeCell ref="S4:AE4"/>
    <x:mergeCell ref="AF4:AQ4"/>
    <x:mergeCell ref="AR4:AZ4"/>
    <x:mergeCell ref="B5:AX6"/>
    <x:mergeCell ref="C8:L10"/>
    <x:mergeCell ref="M8:AW10"/>
    <x:mergeCell ref="C11:L13"/>
    <x:mergeCell ref="M11:AW13"/>
    <x:mergeCell ref="C14:L16"/>
    <x:mergeCell ref="M14:AW16"/>
    <x:mergeCell ref="C17:L19"/>
    <x:mergeCell ref="M17:AW19"/>
    <x:mergeCell ref="C20:L22"/>
    <x:mergeCell ref="M20:AW22"/>
    <x:mergeCell ref="B25:AX26"/>
    <x:mergeCell ref="C32:J36"/>
    <x:mergeCell ref="K33:O33"/>
    <x:mergeCell ref="P31:X37"/>
    <x:mergeCell ref="Y33:AC33"/>
    <x:mergeCell ref="AD29:AM39"/>
    <x:mergeCell ref="AN31:AR31"/>
    <x:mergeCell ref="AS29:AX35"/>
    <x:mergeCell ref="AE44:AL50"/>
    <x:mergeCell ref="AI41:AR42"/>
    <x:mergeCell ref="Q44:Y50"/>
    <x:mergeCell ref="V40:AD41"/>
    <x:mergeCell ref="W42:AE43"/>
    <x:mergeCell ref="AP44:AX50"/>
    <x:mergeCell ref="AM46:AO46"/>
    <x:mergeCell ref="AC57:AM63"/>
    <x:mergeCell ref="AI53:AR54"/>
    <x:mergeCell ref="C66:AX68"/>
    <x:mergeCell ref="B72:AX73"/>
    <x:mergeCell ref="C75:G75"/>
    <x:mergeCell ref="H75:N75"/>
    <x:mergeCell ref="O75:V75"/>
    <x:mergeCell ref="W75:AD75"/>
    <x:mergeCell ref="AE75:AI75"/>
    <x:mergeCell ref="AJ75:AN75"/>
    <x:mergeCell ref="AO75:AX75"/>
    <x:mergeCell ref="C76:G76"/>
    <x:mergeCell ref="H76:N76"/>
    <x:mergeCell ref="O76:V76"/>
    <x:mergeCell ref="W76:AD76"/>
    <x:mergeCell ref="AE76:AI76"/>
    <x:mergeCell ref="AJ76:AN76"/>
    <x:mergeCell ref="AO76:AX76"/>
    <x:mergeCell ref="C77:G77"/>
    <x:mergeCell ref="H77:N77"/>
    <x:mergeCell ref="O77:V77"/>
    <x:mergeCell ref="W77:AD77"/>
    <x:mergeCell ref="AE77:AI77"/>
    <x:mergeCell ref="AJ77:AN77"/>
    <x:mergeCell ref="AO77:AX77"/>
    <x:mergeCell ref="C78:G78"/>
    <x:mergeCell ref="H78:N78"/>
    <x:mergeCell ref="O78:V78"/>
    <x:mergeCell ref="W78:AD78"/>
    <x:mergeCell ref="AE78:AI78"/>
    <x:mergeCell ref="AJ78:AN78"/>
    <x:mergeCell ref="AO78:AX78"/>
    <x:mergeCell ref="C79:G79"/>
    <x:mergeCell ref="H79:N79"/>
    <x:mergeCell ref="O79:V79"/>
    <x:mergeCell ref="W79:AD79"/>
    <x:mergeCell ref="AE79:AI79"/>
    <x:mergeCell ref="AJ79:AN79"/>
    <x:mergeCell ref="AO79:AX79"/>
    <x:mergeCell ref="C80:G80"/>
    <x:mergeCell ref="H80:N80"/>
    <x:mergeCell ref="O80:V80"/>
    <x:mergeCell ref="W80:AD80"/>
    <x:mergeCell ref="AE80:AI80"/>
    <x:mergeCell ref="AJ80:AN80"/>
    <x:mergeCell ref="AO80:AX80"/>
    <x:mergeCell ref="C81:G81"/>
    <x:mergeCell ref="H81:N81"/>
    <x:mergeCell ref="O81:V81"/>
    <x:mergeCell ref="W81:AD81"/>
    <x:mergeCell ref="AE81:AI81"/>
    <x:mergeCell ref="AJ81:AN81"/>
    <x:mergeCell ref="AO81:AX81"/>
    <x:mergeCell ref="C83:AX85"/>
    <x:mergeCell ref="B88:AX89"/>
    <x:mergeCell ref="C91:L94"/>
    <x:mergeCell ref="M91:R94"/>
    <x:mergeCell ref="U91:AD94"/>
    <x:mergeCell ref="AE91:AJ94"/>
    <x:mergeCell ref="AM91:AT94"/>
    <x:mergeCell ref="AU91:AX94"/>
  </x:mergeCells>
  <x:pageMargins left="0.7" right="0.7" top="0.75" bottom="0.75" header="0.3" footer="0.3"/>
  <x:drawing xmlns:r="http://schemas.openxmlformats.org/officeDocument/2006/relationships" r:id="R9fa2107bfdad445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</x:cols>
  <x:sheetData>
    <x:row r="1" ht="13.5" customHeight="1">
      <x:c r="A1" s="131" t="str">
        <x:v>02 振る舞い図（申請状態遷移）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  <x:c r="N1" s="131"/>
      <x:c r="O1" s="131"/>
      <x:c r="P1" s="131"/>
      <x:c r="Q1" s="131"/>
      <x:c r="R1" s="131"/>
      <x:c r="S1" s="131"/>
      <x:c r="T1" s="131"/>
      <x:c r="U1" s="131"/>
      <x:c r="V1" s="131"/>
      <x:c r="W1" s="131"/>
      <x:c r="X1" s="131"/>
      <x:c r="Y1" s="131"/>
      <x:c r="Z1" s="131"/>
      <x:c r="AA1" s="131"/>
      <x:c r="AB1" s="131"/>
      <x:c r="AC1" s="131"/>
      <x:c r="AD1" s="131"/>
      <x:c r="AE1" s="131"/>
      <x:c r="AF1" s="131"/>
      <x:c r="AG1" s="131"/>
      <x:c r="AH1" s="131"/>
      <x:c r="AI1" s="131"/>
      <x:c r="AJ1" s="131"/>
      <x:c r="AK1" s="131"/>
      <x:c r="AL1" s="131"/>
      <x:c r="AM1" s="131"/>
      <x:c r="AN1" s="131"/>
      <x:c r="AO1" s="131"/>
      <x:c r="AP1" s="131"/>
      <x:c r="AQ1" s="131"/>
      <x:c r="AR1" s="131"/>
      <x:c r="AS1" s="131"/>
      <x:c r="AT1" s="131"/>
      <x:c r="AU1" s="131"/>
      <x:c r="AV1" s="131"/>
      <x:c r="AW1" s="131"/>
      <x:c r="AX1" s="131"/>
      <x:c r="AY1" s="131"/>
      <x:c r="AZ1" s="131"/>
    </x:row>
    <x:row r="2" ht="13.5" customHeight="1">
      <x:c r="A2" s="131"/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  <x:c r="Q2" s="131"/>
      <x:c r="R2" s="131"/>
      <x:c r="S2" s="131"/>
      <x:c r="T2" s="131"/>
      <x:c r="U2" s="131"/>
      <x:c r="V2" s="131"/>
      <x:c r="W2" s="131"/>
      <x:c r="X2" s="131"/>
      <x:c r="Y2" s="131"/>
      <x:c r="Z2" s="131"/>
      <x:c r="AA2" s="131"/>
      <x:c r="AB2" s="131"/>
      <x:c r="AC2" s="131"/>
      <x:c r="AD2" s="131"/>
      <x:c r="AE2" s="131"/>
      <x:c r="AF2" s="131"/>
      <x:c r="AG2" s="131"/>
      <x:c r="AH2" s="131"/>
      <x:c r="AI2" s="131"/>
      <x:c r="AJ2" s="131"/>
      <x:c r="AK2" s="131"/>
      <x:c r="AL2" s="131"/>
      <x:c r="AM2" s="131"/>
      <x:c r="AN2" s="131"/>
      <x:c r="AO2" s="131"/>
      <x:c r="AP2" s="131"/>
      <x:c r="AQ2" s="131"/>
      <x:c r="AR2" s="131"/>
      <x:c r="AS2" s="131"/>
      <x:c r="AT2" s="131"/>
      <x:c r="AU2" s="131"/>
      <x:c r="AV2" s="131"/>
      <x:c r="AW2" s="131"/>
      <x:c r="AX2" s="131"/>
      <x:c r="AY2" s="131"/>
      <x:c r="AZ2" s="131"/>
    </x:row>
    <x:row r="3" ht="13.5" customHeight="1">
      <x:c r="A3" s="135" t="str">
        <x:v>角丸＝状態、矢印＝イベント、[ ]＝ガード条件。状態更新はExpense APIのみが実施する。</x:v>
      </x:c>
      <x:c r="B3" s="135"/>
      <x:c r="C3" s="135"/>
      <x:c r="D3" s="135"/>
      <x:c r="E3" s="135"/>
      <x:c r="F3" s="135"/>
      <x:c r="G3" s="135"/>
      <x:c r="H3" s="135"/>
      <x:c r="I3" s="135"/>
      <x:c r="J3" s="135"/>
      <x:c r="K3" s="135"/>
      <x:c r="L3" s="135"/>
      <x:c r="M3" s="135"/>
      <x:c r="N3" s="135"/>
      <x:c r="O3" s="135"/>
      <x:c r="P3" s="135"/>
      <x:c r="Q3" s="135"/>
      <x:c r="R3" s="135"/>
      <x:c r="S3" s="135"/>
      <x:c r="T3" s="135"/>
      <x:c r="U3" s="135"/>
      <x:c r="V3" s="135"/>
      <x:c r="W3" s="135"/>
      <x:c r="X3" s="135"/>
      <x:c r="Y3" s="135"/>
      <x:c r="Z3" s="135"/>
      <x:c r="AA3" s="135"/>
      <x:c r="AB3" s="135"/>
      <x:c r="AC3" s="135"/>
      <x:c r="AD3" s="135"/>
      <x:c r="AE3" s="135"/>
      <x:c r="AF3" s="135"/>
      <x:c r="AG3" s="135"/>
      <x:c r="AH3" s="135"/>
      <x:c r="AI3" s="135"/>
      <x:c r="AJ3" s="135"/>
      <x:c r="AK3" s="135"/>
      <x:c r="AL3" s="135"/>
      <x:c r="AM3" s="135"/>
      <x:c r="AN3" s="135"/>
      <x:c r="AO3" s="135"/>
      <x:c r="AP3" s="135"/>
      <x:c r="AQ3" s="135"/>
      <x:c r="AR3" s="135"/>
      <x:c r="AS3" s="135"/>
      <x:c r="AT3" s="135"/>
      <x:c r="AU3" s="135"/>
      <x:c r="AV3" s="135"/>
      <x:c r="AW3" s="135"/>
      <x:c r="AX3" s="135"/>
      <x:c r="AY3" s="135"/>
      <x:c r="AZ3" s="135"/>
    </x:row>
    <x:row r="4" ht="13.5" customHeight="1">
      <x:c r="A4" s="140" t="str">
        <x:v>文書ID: EXPS-DES-02</x:v>
      </x:c>
      <x:c r="B4" s="140"/>
      <x:c r="C4" s="140"/>
      <x:c r="D4" s="140"/>
      <x:c r="E4" s="140"/>
      <x:c r="F4" s="140"/>
      <x:c r="G4" s="140"/>
      <x:c r="H4" s="140"/>
      <x:c r="I4" s="140"/>
      <x:c r="J4" s="140"/>
      <x:c r="K4" s="140"/>
      <x:c r="L4" s="140"/>
      <x:c r="M4" s="140" t="str">
        <x:v>版: 1.2</x:v>
      </x:c>
      <x:c r="N4" s="140"/>
      <x:c r="O4" s="140"/>
      <x:c r="P4" s="140"/>
      <x:c r="Q4" s="140"/>
      <x:c r="R4" s="140"/>
      <x:c r="S4" s="140" t="str">
        <x:v>状態: レビュー中</x:v>
      </x:c>
      <x:c r="T4" s="140"/>
      <x:c r="U4" s="140"/>
      <x:c r="V4" s="140"/>
      <x:c r="W4" s="140"/>
      <x:c r="X4" s="140"/>
      <x:c r="Y4" s="140"/>
      <x:c r="Z4" s="140"/>
      <x:c r="AA4" s="140"/>
      <x:c r="AB4" s="140"/>
      <x:c r="AC4" s="140"/>
      <x:c r="AD4" s="140"/>
      <x:c r="AE4" s="140"/>
      <x:c r="AF4" s="140" t="str">
        <x:v>主管: 業務システム部</x:v>
      </x:c>
      <x:c r="AG4" s="140"/>
      <x:c r="AH4" s="140"/>
      <x:c r="AI4" s="140"/>
      <x:c r="AJ4" s="140"/>
      <x:c r="AK4" s="140"/>
      <x:c r="AL4" s="140"/>
      <x:c r="AM4" s="140"/>
      <x:c r="AN4" s="140"/>
      <x:c r="AO4" s="140"/>
      <x:c r="AP4" s="140"/>
      <x:c r="AQ4" s="140"/>
      <x:c r="AR4" s="140" t="str">
        <x:v>更新: 2026-08-23</x:v>
      </x:c>
      <x:c r="AS4" s="140"/>
      <x:c r="AT4" s="140"/>
      <x:c r="AU4" s="140"/>
      <x:c r="AV4" s="140"/>
      <x:c r="AW4" s="140"/>
      <x:c r="AX4" s="140"/>
      <x:c r="AY4" s="140"/>
      <x:c r="AZ4" s="140"/>
    </x:row>
    <x:row r="5" ht="13.5" customHeight="1">
      <x:c r="A5" s="2"/>
      <x:c r="B5" s="77" t="str">
        <x:v>2.1 状態遷移図</x:v>
      </x:c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  <x:c r="AA5" s="78"/>
      <x:c r="AB5" s="78"/>
      <x:c r="AC5" s="78"/>
      <x:c r="AD5" s="78"/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9"/>
      <x:c r="AY5" s="2"/>
      <x:c r="AZ5" s="2"/>
    </x:row>
    <x:row r="6" ht="13.5" customHeight="1">
      <x:c r="A6" s="2"/>
      <x:c r="B6" s="80"/>
      <x:c r="C6" s="8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  <x:c r="AA6" s="81"/>
      <x:c r="AB6" s="81"/>
      <x:c r="AC6" s="81"/>
      <x:c r="AD6" s="81"/>
      <x:c r="AE6" s="81"/>
      <x:c r="AF6" s="81"/>
      <x:c r="AG6" s="81"/>
      <x:c r="AH6" s="81"/>
      <x:c r="AI6" s="81"/>
      <x:c r="AJ6" s="81"/>
      <x:c r="AK6" s="81"/>
      <x:c r="AL6" s="81"/>
      <x:c r="AM6" s="81"/>
      <x:c r="AN6" s="81"/>
      <x:c r="AO6" s="81"/>
      <x:c r="AP6" s="81"/>
      <x:c r="AQ6" s="81"/>
      <x:c r="AR6" s="81"/>
      <x:c r="AS6" s="81"/>
      <x:c r="AT6" s="81"/>
      <x:c r="AU6" s="81"/>
      <x:c r="AV6" s="81"/>
      <x:c r="AW6" s="81"/>
      <x:c r="AX6" s="82"/>
      <x:c r="AY6" s="2"/>
      <x:c r="AZ6" s="2"/>
    </x:row>
    <x:row r="7" ht="13.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405" t="str">
        <x:v>差戻し [理由あり]</x:v>
      </x:c>
      <x:c r="AQ7" s="405"/>
      <x:c r="AR7" s="405"/>
      <x:c r="AS7" s="405"/>
      <x:c r="AT7" s="405"/>
      <x:c r="AU7" s="405"/>
      <x:c r="AV7" s="405"/>
      <x:c r="AW7" s="405"/>
      <x:c r="AX7" s="405"/>
      <x:c r="AY7" s="405"/>
      <x:c r="AZ7" s="2"/>
    </x:row>
    <x:row r="8" ht="13.5" customHeight="1">
      <x:c r="A8" s="2"/>
      <x:c r="B8" s="2"/>
      <x:c r="C8" s="2"/>
      <x:c r="D8" s="148" t="str">
        <x:v>新規作成</x:v>
      </x:c>
      <x:c r="E8" s="148"/>
      <x:c r="F8" s="148"/>
      <x:c r="G8" s="148"/>
      <x:c r="H8" s="403" t="str">
        <x:v>下書き
DRAFT</x:v>
      </x:c>
      <x:c r="I8" s="403"/>
      <x:c r="J8" s="403"/>
      <x:c r="K8" s="403"/>
      <x:c r="L8" s="403"/>
      <x:c r="M8" s="403"/>
      <x:c r="N8" s="403"/>
      <x:c r="O8" s="403"/>
      <x:c r="P8" s="148" t="str">
        <x:v>提出 [必須入力OK]</x:v>
      </x:c>
      <x:c r="Q8" s="148"/>
      <x:c r="R8" s="148"/>
      <x:c r="S8" s="148"/>
      <x:c r="T8" s="148"/>
      <x:c r="U8" s="403" t="str">
        <x:v>提出済
SUBMITTED</x:v>
      </x:c>
      <x:c r="V8" s="403"/>
      <x:c r="W8" s="403"/>
      <x:c r="X8" s="403"/>
      <x:c r="Y8" s="403"/>
      <x:c r="Z8" s="403"/>
      <x:c r="AA8" s="403"/>
      <x:c r="AB8" s="403"/>
      <x:c r="AC8" s="148" t="str">
        <x:v>受付・承認依頼</x:v>
      </x:c>
      <x:c r="AD8" s="148"/>
      <x:c r="AE8" s="148"/>
      <x:c r="AF8" s="148"/>
      <x:c r="AG8" s="148"/>
      <x:c r="AH8" s="403" t="str">
        <x:v>承認待ち
PENDING</x:v>
      </x:c>
      <x:c r="AI8" s="403"/>
      <x:c r="AJ8" s="403"/>
      <x:c r="AK8" s="403"/>
      <x:c r="AL8" s="403"/>
      <x:c r="AM8" s="403"/>
      <x:c r="AN8" s="403"/>
      <x:c r="AO8" s="403"/>
      <x:c r="AP8" s="2"/>
      <x:c r="AQ8" s="2"/>
      <x:c r="AR8" s="403" t="str">
        <x:v>差戻し
RETURNED</x:v>
      </x:c>
      <x:c r="AS8" s="403"/>
      <x:c r="AT8" s="403"/>
      <x:c r="AU8" s="403"/>
      <x:c r="AV8" s="403"/>
      <x:c r="AW8" s="403"/>
      <x:c r="AX8" s="403"/>
      <x:c r="AY8" s="403"/>
      <x:c r="AZ8" s="2"/>
    </x:row>
    <x:row r="9" ht="13.5" customHeight="1">
      <x:c r="A9" s="2"/>
      <x:c r="B9" s="2"/>
      <x:c r="C9" s="2"/>
      <x:c r="D9" s="2"/>
      <x:c r="E9" s="2"/>
      <x:c r="F9" s="2"/>
      <x:c r="G9" s="2"/>
      <x:c r="H9" s="403"/>
      <x:c r="I9" s="403"/>
      <x:c r="J9" s="403"/>
      <x:c r="K9" s="403"/>
      <x:c r="L9" s="403"/>
      <x:c r="M9" s="403"/>
      <x:c r="N9" s="403"/>
      <x:c r="O9" s="403"/>
      <x:c r="P9" s="2"/>
      <x:c r="Q9" s="2"/>
      <x:c r="R9" s="2"/>
      <x:c r="S9" s="2"/>
      <x:c r="T9" s="2"/>
      <x:c r="U9" s="403"/>
      <x:c r="V9" s="403"/>
      <x:c r="W9" s="403"/>
      <x:c r="X9" s="403"/>
      <x:c r="Y9" s="403"/>
      <x:c r="Z9" s="403"/>
      <x:c r="AA9" s="403"/>
      <x:c r="AB9" s="403"/>
      <x:c r="AC9" s="2"/>
      <x:c r="AD9" s="2"/>
      <x:c r="AE9" s="2"/>
      <x:c r="AF9" s="2"/>
      <x:c r="AG9" s="2"/>
      <x:c r="AH9" s="403"/>
      <x:c r="AI9" s="403"/>
      <x:c r="AJ9" s="403"/>
      <x:c r="AK9" s="403"/>
      <x:c r="AL9" s="403"/>
      <x:c r="AM9" s="403"/>
      <x:c r="AN9" s="403"/>
      <x:c r="AO9" s="403"/>
      <x:c r="AP9" s="2"/>
      <x:c r="AQ9" s="2"/>
      <x:c r="AR9" s="403"/>
      <x:c r="AS9" s="403"/>
      <x:c r="AT9" s="403"/>
      <x:c r="AU9" s="403"/>
      <x:c r="AV9" s="403"/>
      <x:c r="AW9" s="403"/>
      <x:c r="AX9" s="403"/>
      <x:c r="AY9" s="403"/>
      <x:c r="AZ9" s="2"/>
    </x:row>
    <x:row r="10" ht="13.5" customHeight="1">
      <x:c r="A10" s="2"/>
      <x:c r="B10" s="2"/>
      <x:c r="C10" s="2"/>
      <x:c r="D10" s="2"/>
      <x:c r="E10" s="2"/>
      <x:c r="F10" s="2"/>
      <x:c r="G10" s="2"/>
      <x:c r="H10" s="403"/>
      <x:c r="I10" s="403"/>
      <x:c r="J10" s="403"/>
      <x:c r="K10" s="403"/>
      <x:c r="L10" s="403"/>
      <x:c r="M10" s="403"/>
      <x:c r="N10" s="403"/>
      <x:c r="O10" s="403"/>
      <x:c r="P10" s="2"/>
      <x:c r="Q10" s="2"/>
      <x:c r="R10" s="2"/>
      <x:c r="S10" s="2"/>
      <x:c r="T10" s="2"/>
      <x:c r="U10" s="403"/>
      <x:c r="V10" s="403"/>
      <x:c r="W10" s="403"/>
      <x:c r="X10" s="403"/>
      <x:c r="Y10" s="403"/>
      <x:c r="Z10" s="403"/>
      <x:c r="AA10" s="403"/>
      <x:c r="AB10" s="403"/>
      <x:c r="AC10" s="2"/>
      <x:c r="AD10" s="2"/>
      <x:c r="AE10" s="2"/>
      <x:c r="AF10" s="2"/>
      <x:c r="AG10" s="2"/>
      <x:c r="AH10" s="403"/>
      <x:c r="AI10" s="403"/>
      <x:c r="AJ10" s="403"/>
      <x:c r="AK10" s="403"/>
      <x:c r="AL10" s="403"/>
      <x:c r="AM10" s="403"/>
      <x:c r="AN10" s="403"/>
      <x:c r="AO10" s="403"/>
      <x:c r="AP10" s="2"/>
      <x:c r="AQ10" s="2"/>
      <x:c r="AR10" s="403"/>
      <x:c r="AS10" s="403"/>
      <x:c r="AT10" s="403"/>
      <x:c r="AU10" s="403"/>
      <x:c r="AV10" s="403"/>
      <x:c r="AW10" s="403"/>
      <x:c r="AX10" s="403"/>
      <x:c r="AY10" s="403"/>
      <x:c r="AZ10" s="2"/>
    </x:row>
    <x:row r="11" ht="13.5" customHeight="1">
      <x:c r="A11" s="2"/>
      <x:c r="B11" s="2"/>
      <x:c r="C11" s="2"/>
      <x:c r="D11" s="2"/>
      <x:c r="E11" s="2"/>
      <x:c r="F11" s="2"/>
      <x:c r="G11" s="2"/>
      <x:c r="H11" s="403"/>
      <x:c r="I11" s="403"/>
      <x:c r="J11" s="403"/>
      <x:c r="K11" s="403"/>
      <x:c r="L11" s="403"/>
      <x:c r="M11" s="403"/>
      <x:c r="N11" s="403"/>
      <x:c r="O11" s="403"/>
      <x:c r="P11" s="2"/>
      <x:c r="Q11" s="2"/>
      <x:c r="R11" s="2"/>
      <x:c r="S11" s="2"/>
      <x:c r="T11" s="2"/>
      <x:c r="U11" s="403"/>
      <x:c r="V11" s="403"/>
      <x:c r="W11" s="403"/>
      <x:c r="X11" s="403"/>
      <x:c r="Y11" s="403"/>
      <x:c r="Z11" s="403"/>
      <x:c r="AA11" s="403"/>
      <x:c r="AB11" s="403"/>
      <x:c r="AC11" s="2"/>
      <x:c r="AD11" s="2"/>
      <x:c r="AE11" s="2"/>
      <x:c r="AF11" s="2"/>
      <x:c r="AG11" s="2"/>
      <x:c r="AH11" s="403"/>
      <x:c r="AI11" s="403"/>
      <x:c r="AJ11" s="403"/>
      <x:c r="AK11" s="403"/>
      <x:c r="AL11" s="403"/>
      <x:c r="AM11" s="403"/>
      <x:c r="AN11" s="403"/>
      <x:c r="AO11" s="403"/>
      <x:c r="AP11" s="2"/>
      <x:c r="AQ11" s="2"/>
      <x:c r="AR11" s="403"/>
      <x:c r="AS11" s="403"/>
      <x:c r="AT11" s="403"/>
      <x:c r="AU11" s="403"/>
      <x:c r="AV11" s="403"/>
      <x:c r="AW11" s="403"/>
      <x:c r="AX11" s="403"/>
      <x:c r="AY11" s="403"/>
      <x:c r="AZ11" s="2"/>
    </x:row>
    <x:row r="12" ht="13.5" customHeight="1">
      <x:c r="A12" s="2"/>
      <x:c r="B12" s="2"/>
      <x:c r="C12" s="2"/>
      <x:c r="D12" s="2"/>
      <x:c r="E12" s="2"/>
      <x:c r="F12" s="2"/>
      <x:c r="G12" s="2"/>
      <x:c r="H12" s="403"/>
      <x:c r="I12" s="403"/>
      <x:c r="J12" s="403"/>
      <x:c r="K12" s="403"/>
      <x:c r="L12" s="403"/>
      <x:c r="M12" s="403"/>
      <x:c r="N12" s="403"/>
      <x:c r="O12" s="403"/>
      <x:c r="P12" s="2"/>
      <x:c r="Q12" s="2"/>
      <x:c r="R12" s="2"/>
      <x:c r="S12" s="2"/>
      <x:c r="T12" s="2"/>
      <x:c r="U12" s="403"/>
      <x:c r="V12" s="403"/>
      <x:c r="W12" s="403"/>
      <x:c r="X12" s="403"/>
      <x:c r="Y12" s="403"/>
      <x:c r="Z12" s="403"/>
      <x:c r="AA12" s="403"/>
      <x:c r="AB12" s="403"/>
      <x:c r="AC12" s="2"/>
      <x:c r="AD12" s="2"/>
      <x:c r="AE12" s="2"/>
      <x:c r="AF12" s="2"/>
      <x:c r="AG12" s="2"/>
      <x:c r="AH12" s="403"/>
      <x:c r="AI12" s="403"/>
      <x:c r="AJ12" s="403"/>
      <x:c r="AK12" s="403"/>
      <x:c r="AL12" s="403"/>
      <x:c r="AM12" s="403"/>
      <x:c r="AN12" s="403"/>
      <x:c r="AO12" s="403"/>
      <x:c r="AP12" s="2"/>
      <x:c r="AQ12" s="2"/>
      <x:c r="AR12" s="403"/>
      <x:c r="AS12" s="403"/>
      <x:c r="AT12" s="403"/>
      <x:c r="AU12" s="403"/>
      <x:c r="AV12" s="403"/>
      <x:c r="AW12" s="403"/>
      <x:c r="AX12" s="403"/>
      <x:c r="AY12" s="403"/>
      <x:c r="AZ12" s="2"/>
    </x:row>
    <x:row r="13" ht="13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 ht="13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156" t="str">
        <x:v>承認
[権限あり]</x:v>
      </x:c>
      <x:c r="AM14" s="156"/>
      <x:c r="AN14" s="156"/>
      <x:c r="AO14" s="156"/>
      <x:c r="AP14" s="156"/>
      <x:c r="AQ14" s="156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 ht="13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156"/>
      <x:c r="AM15" s="156"/>
      <x:c r="AN15" s="156"/>
      <x:c r="AO15" s="156"/>
      <x:c r="AP15" s="156"/>
      <x:c r="AQ15" s="156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 ht="13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407" t="str">
        <x:v>破棄／取消</x:v>
      </x:c>
      <x:c r="M16" s="407"/>
      <x:c r="N16" s="407"/>
      <x:c r="O16" s="407"/>
      <x:c r="P16" s="407"/>
      <x:c r="Q16" s="407"/>
      <x:c r="R16" s="407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 ht="13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407"/>
      <x:c r="M17" s="407"/>
      <x:c r="N17" s="407"/>
      <x:c r="O17" s="407"/>
      <x:c r="P17" s="407"/>
      <x:c r="Q17" s="407"/>
      <x:c r="R17" s="407"/>
      <x:c r="S17" s="2"/>
      <x:c r="T17" s="2"/>
      <x:c r="U17" s="2"/>
      <x:c r="V17" s="2"/>
      <x:c r="W17" s="2"/>
      <x:c r="X17" s="2"/>
      <x:c r="Y17" s="2"/>
      <x:c r="Z17" s="148" t="str">
        <x:v>修正・再提出
[入力OK]</x:v>
      </x:c>
      <x:c r="AA17" s="148"/>
      <x:c r="AB17" s="148"/>
      <x:c r="AC17" s="148"/>
      <x:c r="AD17" s="148"/>
      <x:c r="AE17" s="148"/>
      <x:c r="AF17" s="148"/>
      <x:c r="AG17" s="148"/>
      <x:c r="AH17" s="148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 ht="13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148"/>
      <x:c r="AA18" s="148"/>
      <x:c r="AB18" s="148"/>
      <x:c r="AC18" s="148"/>
      <x:c r="AD18" s="148"/>
      <x:c r="AE18" s="148"/>
      <x:c r="AF18" s="148"/>
      <x:c r="AG18" s="148"/>
      <x:c r="AH18" s="148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 ht="13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 ht="13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 ht="13.5" customHeight="1">
      <x:c r="A21" s="2"/>
      <x:c r="B21" s="2"/>
      <x:c r="C21" s="2"/>
      <x:c r="D21" s="2"/>
      <x:c r="E21" s="2"/>
      <x:c r="F21" s="2"/>
      <x:c r="G21" s="2"/>
      <x:c r="H21" s="403" t="str">
        <x:v>取消
CANCELLED</x:v>
      </x:c>
      <x:c r="I21" s="403"/>
      <x:c r="J21" s="403"/>
      <x:c r="K21" s="403"/>
      <x:c r="L21" s="403"/>
      <x:c r="M21" s="403"/>
      <x:c r="N21" s="403"/>
      <x:c r="O21" s="40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403" t="str">
        <x:v>承認済
APPROVED</x:v>
      </x:c>
      <x:c r="AI21" s="403"/>
      <x:c r="AJ21" s="403"/>
      <x:c r="AK21" s="403"/>
      <x:c r="AL21" s="403"/>
      <x:c r="AM21" s="403"/>
      <x:c r="AN21" s="403"/>
      <x:c r="AO21" s="403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 ht="13.5" customHeight="1">
      <x:c r="A22" s="2"/>
      <x:c r="B22" s="2"/>
      <x:c r="C22" s="2"/>
      <x:c r="D22" s="2"/>
      <x:c r="E22" s="2"/>
      <x:c r="F22" s="2"/>
      <x:c r="G22" s="2"/>
      <x:c r="H22" s="403"/>
      <x:c r="I22" s="403"/>
      <x:c r="J22" s="403"/>
      <x:c r="K22" s="403"/>
      <x:c r="L22" s="403"/>
      <x:c r="M22" s="403"/>
      <x:c r="N22" s="403"/>
      <x:c r="O22" s="40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403"/>
      <x:c r="AI22" s="403"/>
      <x:c r="AJ22" s="403"/>
      <x:c r="AK22" s="403"/>
      <x:c r="AL22" s="403"/>
      <x:c r="AM22" s="403"/>
      <x:c r="AN22" s="403"/>
      <x:c r="AO22" s="403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 ht="13.5" customHeight="1">
      <x:c r="A23" s="2"/>
      <x:c r="B23" s="2"/>
      <x:c r="C23" s="2"/>
      <x:c r="D23" s="2"/>
      <x:c r="E23" s="2"/>
      <x:c r="F23" s="2"/>
      <x:c r="G23" s="2"/>
      <x:c r="H23" s="403"/>
      <x:c r="I23" s="403"/>
      <x:c r="J23" s="403"/>
      <x:c r="K23" s="403"/>
      <x:c r="L23" s="403"/>
      <x:c r="M23" s="403"/>
      <x:c r="N23" s="403"/>
      <x:c r="O23" s="40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403"/>
      <x:c r="AI23" s="403"/>
      <x:c r="AJ23" s="403"/>
      <x:c r="AK23" s="403"/>
      <x:c r="AL23" s="403"/>
      <x:c r="AM23" s="403"/>
      <x:c r="AN23" s="403"/>
      <x:c r="AO23" s="403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 ht="13.5" customHeight="1">
      <x:c r="A24" s="2"/>
      <x:c r="B24" s="2"/>
      <x:c r="C24" s="2"/>
      <x:c r="D24" s="2"/>
      <x:c r="E24" s="2"/>
      <x:c r="F24" s="2"/>
      <x:c r="G24" s="2"/>
      <x:c r="H24" s="403"/>
      <x:c r="I24" s="403"/>
      <x:c r="J24" s="403"/>
      <x:c r="K24" s="403"/>
      <x:c r="L24" s="403"/>
      <x:c r="M24" s="403"/>
      <x:c r="N24" s="403"/>
      <x:c r="O24" s="40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403"/>
      <x:c r="AI24" s="403"/>
      <x:c r="AJ24" s="403"/>
      <x:c r="AK24" s="403"/>
      <x:c r="AL24" s="403"/>
      <x:c r="AM24" s="403"/>
      <x:c r="AN24" s="403"/>
      <x:c r="AO24" s="403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 ht="13.5" customHeight="1">
      <x:c r="A25" s="2"/>
      <x:c r="B25" s="2"/>
      <x:c r="C25" s="2"/>
      <x:c r="D25" s="2"/>
      <x:c r="E25" s="2"/>
      <x:c r="F25" s="2"/>
      <x:c r="G25" s="2"/>
      <x:c r="H25" s="403"/>
      <x:c r="I25" s="403"/>
      <x:c r="J25" s="403"/>
      <x:c r="K25" s="403"/>
      <x:c r="L25" s="403"/>
      <x:c r="M25" s="403"/>
      <x:c r="N25" s="403"/>
      <x:c r="O25" s="40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403"/>
      <x:c r="AI25" s="403"/>
      <x:c r="AJ25" s="403"/>
      <x:c r="AK25" s="403"/>
      <x:c r="AL25" s="403"/>
      <x:c r="AM25" s="403"/>
      <x:c r="AN25" s="403"/>
      <x:c r="AO25" s="403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 ht="13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 ht="13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 ht="13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 ht="13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409" t="str">
        <x:v>会計連携</x:v>
      </x:c>
      <x:c r="AM29" s="409"/>
      <x:c r="AN29" s="409"/>
      <x:c r="AO29" s="409"/>
      <x:c r="AP29" s="409"/>
      <x:c r="AQ29" s="409"/>
      <x:c r="AR29" s="409"/>
      <x:c r="AS29" s="409"/>
      <x:c r="AT29" s="2"/>
      <x:c r="AU29" s="2"/>
      <x:c r="AV29" s="2"/>
      <x:c r="AW29" s="2"/>
      <x:c r="AX29" s="2"/>
      <x:c r="AY29" s="2"/>
      <x:c r="AZ29" s="2"/>
    </x:row>
    <x:row r="30" ht="13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409"/>
      <x:c r="AM30" s="409"/>
      <x:c r="AN30" s="409"/>
      <x:c r="AO30" s="409"/>
      <x:c r="AP30" s="409"/>
      <x:c r="AQ30" s="409"/>
      <x:c r="AR30" s="409"/>
      <x:c r="AS30" s="409"/>
      <x:c r="AT30" s="2"/>
      <x:c r="AU30" s="2"/>
      <x:c r="AV30" s="2"/>
      <x:c r="AW30" s="2"/>
      <x:c r="AX30" s="2"/>
      <x:c r="AY30" s="2"/>
      <x:c r="AZ30" s="2"/>
    </x:row>
    <x:row r="31" ht="13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405" t="str">
        <x:v>連携失敗 [retry_count &gt;= 5]</x:v>
      </x:c>
      <x:c r="AQ31" s="405"/>
      <x:c r="AR31" s="405"/>
      <x:c r="AS31" s="405"/>
      <x:c r="AT31" s="405"/>
      <x:c r="AU31" s="405"/>
      <x:c r="AV31" s="405"/>
      <x:c r="AW31" s="405"/>
      <x:c r="AX31" s="405"/>
      <x:c r="AY31" s="405"/>
      <x:c r="AZ31" s="2"/>
    </x:row>
    <x:row r="32" ht="13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405"/>
      <x:c r="AQ32" s="405"/>
      <x:c r="AR32" s="405"/>
      <x:c r="AS32" s="405"/>
      <x:c r="AT32" s="405"/>
      <x:c r="AU32" s="405"/>
      <x:c r="AV32" s="405"/>
      <x:c r="AW32" s="405"/>
      <x:c r="AX32" s="405"/>
      <x:c r="AY32" s="405"/>
      <x:c r="AZ32" s="2"/>
    </x:row>
    <x:row r="33" ht="13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 ht="13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144" t="str">
        <x:v>支払待ち
PAYMENT_PENDING</x:v>
      </x:c>
      <x:c r="AI34" s="144"/>
      <x:c r="AJ34" s="144"/>
      <x:c r="AK34" s="144"/>
      <x:c r="AL34" s="144"/>
      <x:c r="AM34" s="144"/>
      <x:c r="AN34" s="144"/>
      <x:c r="AO34" s="144"/>
      <x:c r="AP34" s="2"/>
      <x:c r="AQ34" s="2"/>
      <x:c r="AR34" s="403" t="str">
        <x:v>連携エラー
ERROR</x:v>
      </x:c>
      <x:c r="AS34" s="403"/>
      <x:c r="AT34" s="403"/>
      <x:c r="AU34" s="403"/>
      <x:c r="AV34" s="403"/>
      <x:c r="AW34" s="403"/>
      <x:c r="AX34" s="403"/>
      <x:c r="AY34" s="403"/>
      <x:c r="AZ34" s="2"/>
    </x:row>
    <x:row r="35" ht="13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144"/>
      <x:c r="AI35" s="144"/>
      <x:c r="AJ35" s="144"/>
      <x:c r="AK35" s="144"/>
      <x:c r="AL35" s="144"/>
      <x:c r="AM35" s="144"/>
      <x:c r="AN35" s="144"/>
      <x:c r="AO35" s="144"/>
      <x:c r="AP35" s="2"/>
      <x:c r="AQ35" s="2"/>
      <x:c r="AR35" s="403"/>
      <x:c r="AS35" s="403"/>
      <x:c r="AT35" s="403"/>
      <x:c r="AU35" s="403"/>
      <x:c r="AV35" s="403"/>
      <x:c r="AW35" s="403"/>
      <x:c r="AX35" s="403"/>
      <x:c r="AY35" s="403"/>
      <x:c r="AZ35" s="2"/>
    </x:row>
    <x:row r="36" ht="13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144"/>
      <x:c r="AI36" s="144"/>
      <x:c r="AJ36" s="144"/>
      <x:c r="AK36" s="144"/>
      <x:c r="AL36" s="144"/>
      <x:c r="AM36" s="144"/>
      <x:c r="AN36" s="144"/>
      <x:c r="AO36" s="144"/>
      <x:c r="AP36" s="2"/>
      <x:c r="AQ36" s="2"/>
      <x:c r="AR36" s="403"/>
      <x:c r="AS36" s="403"/>
      <x:c r="AT36" s="403"/>
      <x:c r="AU36" s="403"/>
      <x:c r="AV36" s="403"/>
      <x:c r="AW36" s="403"/>
      <x:c r="AX36" s="403"/>
      <x:c r="AY36" s="403"/>
      <x:c r="AZ36" s="2"/>
    </x:row>
    <x:row r="37" ht="13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144"/>
      <x:c r="AI37" s="144"/>
      <x:c r="AJ37" s="144"/>
      <x:c r="AK37" s="144"/>
      <x:c r="AL37" s="144"/>
      <x:c r="AM37" s="144"/>
      <x:c r="AN37" s="144"/>
      <x:c r="AO37" s="144"/>
      <x:c r="AP37" s="2"/>
      <x:c r="AQ37" s="2"/>
      <x:c r="AR37" s="403"/>
      <x:c r="AS37" s="403"/>
      <x:c r="AT37" s="403"/>
      <x:c r="AU37" s="403"/>
      <x:c r="AV37" s="403"/>
      <x:c r="AW37" s="403"/>
      <x:c r="AX37" s="403"/>
      <x:c r="AY37" s="403"/>
      <x:c r="AZ37" s="2"/>
    </x:row>
    <x:row r="38" ht="13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144"/>
      <x:c r="AI38" s="144"/>
      <x:c r="AJ38" s="144"/>
      <x:c r="AK38" s="144"/>
      <x:c r="AL38" s="144"/>
      <x:c r="AM38" s="144"/>
      <x:c r="AN38" s="144"/>
      <x:c r="AO38" s="144"/>
      <x:c r="AP38" s="2"/>
      <x:c r="AQ38" s="2"/>
      <x:c r="AR38" s="403"/>
      <x:c r="AS38" s="403"/>
      <x:c r="AT38" s="403"/>
      <x:c r="AU38" s="403"/>
      <x:c r="AV38" s="403"/>
      <x:c r="AW38" s="403"/>
      <x:c r="AX38" s="403"/>
      <x:c r="AY38" s="403"/>
      <x:c r="AZ38" s="2"/>
    </x:row>
    <x:row r="39" ht="13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 ht="13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152" t="str">
        <x:v>手動再送 [原因解消済]</x:v>
      </x:c>
      <x:c r="AM40" s="152"/>
      <x:c r="AN40" s="152"/>
      <x:c r="AO40" s="152"/>
      <x:c r="AP40" s="152"/>
      <x:c r="AQ40" s="152"/>
      <x:c r="AR40" s="152"/>
      <x:c r="AS40" s="152"/>
      <x:c r="AT40" s="152"/>
      <x:c r="AU40" s="152"/>
      <x:c r="AV40" s="2"/>
      <x:c r="AW40" s="2"/>
      <x:c r="AX40" s="2"/>
      <x:c r="AY40" s="2"/>
      <x:c r="AZ40" s="2"/>
    </x:row>
    <x:row r="41" ht="13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152"/>
      <x:c r="AM41" s="152"/>
      <x:c r="AN41" s="152"/>
      <x:c r="AO41" s="152"/>
      <x:c r="AP41" s="152"/>
      <x:c r="AQ41" s="152"/>
      <x:c r="AR41" s="152"/>
      <x:c r="AS41" s="152"/>
      <x:c r="AT41" s="152"/>
      <x:c r="AU41" s="152"/>
      <x:c r="AV41" s="2"/>
      <x:c r="AW41" s="2"/>
      <x:c r="AX41" s="2"/>
      <x:c r="AY41" s="2"/>
      <x:c r="AZ41" s="2"/>
    </x:row>
    <x:row r="42" ht="13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156" t="str">
        <x:v>支払確定</x:v>
      </x:c>
      <x:c r="AM42" s="156"/>
      <x:c r="AN42" s="156"/>
      <x:c r="AO42" s="156"/>
      <x:c r="AP42" s="156"/>
      <x:c r="AQ42" s="156"/>
      <x:c r="AR42" s="156"/>
      <x:c r="AS42" s="156"/>
      <x:c r="AT42" s="2"/>
      <x:c r="AU42" s="2"/>
      <x:c r="AV42" s="2"/>
      <x:c r="AW42" s="2"/>
      <x:c r="AX42" s="2"/>
      <x:c r="AY42" s="2"/>
      <x:c r="AZ42" s="2"/>
    </x:row>
    <x:row r="43" ht="13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156"/>
      <x:c r="AM43" s="156"/>
      <x:c r="AN43" s="156"/>
      <x:c r="AO43" s="156"/>
      <x:c r="AP43" s="156"/>
      <x:c r="AQ43" s="156"/>
      <x:c r="AR43" s="156"/>
      <x:c r="AS43" s="156"/>
      <x:c r="AT43" s="2"/>
      <x:c r="AU43" s="2"/>
      <x:c r="AV43" s="2"/>
      <x:c r="AW43" s="2"/>
      <x:c r="AX43" s="2"/>
      <x:c r="AY43" s="2"/>
      <x:c r="AZ43" s="2"/>
    </x:row>
    <x:row r="44" ht="13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 ht="13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 ht="13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 ht="13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403" t="str">
        <x:v>支払済
PAID</x:v>
      </x:c>
      <x:c r="AI47" s="403"/>
      <x:c r="AJ47" s="403"/>
      <x:c r="AK47" s="403"/>
      <x:c r="AL47" s="403"/>
      <x:c r="AM47" s="403"/>
      <x:c r="AN47" s="403"/>
      <x:c r="AO47" s="403"/>
      <x:c r="AP47" s="411" t="str">
        <x:v>完了</x:v>
      </x:c>
      <x:c r="AQ47" s="411"/>
      <x:c r="AR47" s="411"/>
      <x:c r="AS47" s="411"/>
      <x:c r="AT47" s="411"/>
      <x:c r="AU47" s="2"/>
      <x:c r="AV47" s="2"/>
      <x:c r="AW47" s="2"/>
      <x:c r="AX47" s="2"/>
      <x:c r="AY47" s="2"/>
      <x:c r="AZ47" s="2"/>
    </x:row>
    <x:row r="48" ht="13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403"/>
      <x:c r="AI48" s="403"/>
      <x:c r="AJ48" s="403"/>
      <x:c r="AK48" s="403"/>
      <x:c r="AL48" s="403"/>
      <x:c r="AM48" s="403"/>
      <x:c r="AN48" s="403"/>
      <x:c r="AO48" s="403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 ht="13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403"/>
      <x:c r="AI49" s="403"/>
      <x:c r="AJ49" s="403"/>
      <x:c r="AK49" s="403"/>
      <x:c r="AL49" s="403"/>
      <x:c r="AM49" s="403"/>
      <x:c r="AN49" s="403"/>
      <x:c r="AO49" s="403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 ht="13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403"/>
      <x:c r="AI50" s="403"/>
      <x:c r="AJ50" s="403"/>
      <x:c r="AK50" s="403"/>
      <x:c r="AL50" s="403"/>
      <x:c r="AM50" s="403"/>
      <x:c r="AN50" s="403"/>
      <x:c r="AO50" s="403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 ht="13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403"/>
      <x:c r="AI51" s="403"/>
      <x:c r="AJ51" s="403"/>
      <x:c r="AK51" s="403"/>
      <x:c r="AL51" s="403"/>
      <x:c r="AM51" s="403"/>
      <x:c r="AN51" s="403"/>
      <x:c r="AO51" s="403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 ht="13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 ht="13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 ht="13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 ht="13.5" customHeight="1">
      <x:c r="A55" s="2"/>
      <x:c r="B55" s="2"/>
      <x:c r="C55" s="440" t="str">
        <x:v>重要な不変条件：PAIDから他状態へは遷移しない／同一Idempotency-Keyの再送で二重登録しない／取消はDRAFTに限る／ERRORは運用権限でのみ再送可能。</x:v>
      </x:c>
      <x:c r="D55" s="441"/>
      <x:c r="E55" s="441"/>
      <x:c r="F55" s="441"/>
      <x:c r="G55" s="441"/>
      <x:c r="H55" s="441"/>
      <x:c r="I55" s="441"/>
      <x:c r="J55" s="441"/>
      <x:c r="K55" s="441"/>
      <x:c r="L55" s="441"/>
      <x:c r="M55" s="441"/>
      <x:c r="N55" s="441"/>
      <x:c r="O55" s="441"/>
      <x:c r="P55" s="441"/>
      <x:c r="Q55" s="441"/>
      <x:c r="R55" s="441"/>
      <x:c r="S55" s="441"/>
      <x:c r="T55" s="441"/>
      <x:c r="U55" s="441"/>
      <x:c r="V55" s="441"/>
      <x:c r="W55" s="441"/>
      <x:c r="X55" s="441"/>
      <x:c r="Y55" s="441"/>
      <x:c r="Z55" s="441"/>
      <x:c r="AA55" s="441"/>
      <x:c r="AB55" s="441"/>
      <x:c r="AC55" s="441"/>
      <x:c r="AD55" s="441"/>
      <x:c r="AE55" s="441"/>
      <x:c r="AF55" s="441"/>
      <x:c r="AG55" s="441"/>
      <x:c r="AH55" s="441"/>
      <x:c r="AI55" s="441"/>
      <x:c r="AJ55" s="441"/>
      <x:c r="AK55" s="441"/>
      <x:c r="AL55" s="441"/>
      <x:c r="AM55" s="441"/>
      <x:c r="AN55" s="441"/>
      <x:c r="AO55" s="441"/>
      <x:c r="AP55" s="441"/>
      <x:c r="AQ55" s="441"/>
      <x:c r="AR55" s="441"/>
      <x:c r="AS55" s="441"/>
      <x:c r="AT55" s="441"/>
      <x:c r="AU55" s="441"/>
      <x:c r="AV55" s="441"/>
      <x:c r="AW55" s="441"/>
      <x:c r="AX55" s="442"/>
      <x:c r="AY55" s="2"/>
      <x:c r="AZ55" s="2"/>
    </x:row>
    <x:row r="56" ht="13.5" customHeight="1">
      <x:c r="A56" s="2"/>
      <x:c r="B56" s="2"/>
      <x:c r="C56" s="443"/>
      <x:c r="D56" s="444"/>
      <x:c r="E56" s="444"/>
      <x:c r="F56" s="444"/>
      <x:c r="G56" s="444"/>
      <x:c r="H56" s="444"/>
      <x:c r="I56" s="444"/>
      <x:c r="J56" s="444"/>
      <x:c r="K56" s="444"/>
      <x:c r="L56" s="444"/>
      <x:c r="M56" s="444"/>
      <x:c r="N56" s="444"/>
      <x:c r="O56" s="444"/>
      <x:c r="P56" s="444"/>
      <x:c r="Q56" s="444"/>
      <x:c r="R56" s="444"/>
      <x:c r="S56" s="444"/>
      <x:c r="T56" s="444"/>
      <x:c r="U56" s="444"/>
      <x:c r="V56" s="444"/>
      <x:c r="W56" s="444"/>
      <x:c r="X56" s="444"/>
      <x:c r="Y56" s="444"/>
      <x:c r="Z56" s="444"/>
      <x:c r="AA56" s="444"/>
      <x:c r="AB56" s="444"/>
      <x:c r="AC56" s="444"/>
      <x:c r="AD56" s="444"/>
      <x:c r="AE56" s="444"/>
      <x:c r="AF56" s="444"/>
      <x:c r="AG56" s="444"/>
      <x:c r="AH56" s="444"/>
      <x:c r="AI56" s="444"/>
      <x:c r="AJ56" s="444"/>
      <x:c r="AK56" s="444"/>
      <x:c r="AL56" s="444"/>
      <x:c r="AM56" s="444"/>
      <x:c r="AN56" s="444"/>
      <x:c r="AO56" s="444"/>
      <x:c r="AP56" s="444"/>
      <x:c r="AQ56" s="444"/>
      <x:c r="AR56" s="444"/>
      <x:c r="AS56" s="444"/>
      <x:c r="AT56" s="444"/>
      <x:c r="AU56" s="444"/>
      <x:c r="AV56" s="444"/>
      <x:c r="AW56" s="444"/>
      <x:c r="AX56" s="445"/>
      <x:c r="AY56" s="2"/>
      <x:c r="AZ56" s="2"/>
    </x:row>
    <x:row r="57" ht="13.5" customHeight="1">
      <x:c r="A57" s="2"/>
      <x:c r="B57" s="2"/>
      <x:c r="C57" s="446"/>
      <x:c r="D57" s="447"/>
      <x:c r="E57" s="447"/>
      <x:c r="F57" s="447"/>
      <x:c r="G57" s="447"/>
      <x:c r="H57" s="447"/>
      <x:c r="I57" s="447"/>
      <x:c r="J57" s="447"/>
      <x:c r="K57" s="447"/>
      <x:c r="L57" s="447"/>
      <x:c r="M57" s="447"/>
      <x:c r="N57" s="447"/>
      <x:c r="O57" s="447"/>
      <x:c r="P57" s="447"/>
      <x:c r="Q57" s="447"/>
      <x:c r="R57" s="447"/>
      <x:c r="S57" s="447"/>
      <x:c r="T57" s="447"/>
      <x:c r="U57" s="447"/>
      <x:c r="V57" s="447"/>
      <x:c r="W57" s="447"/>
      <x:c r="X57" s="447"/>
      <x:c r="Y57" s="447"/>
      <x:c r="Z57" s="447"/>
      <x:c r="AA57" s="447"/>
      <x:c r="AB57" s="447"/>
      <x:c r="AC57" s="447"/>
      <x:c r="AD57" s="447"/>
      <x:c r="AE57" s="447"/>
      <x:c r="AF57" s="447"/>
      <x:c r="AG57" s="447"/>
      <x:c r="AH57" s="447"/>
      <x:c r="AI57" s="447"/>
      <x:c r="AJ57" s="447"/>
      <x:c r="AK57" s="447"/>
      <x:c r="AL57" s="447"/>
      <x:c r="AM57" s="447"/>
      <x:c r="AN57" s="447"/>
      <x:c r="AO57" s="447"/>
      <x:c r="AP57" s="447"/>
      <x:c r="AQ57" s="447"/>
      <x:c r="AR57" s="447"/>
      <x:c r="AS57" s="447"/>
      <x:c r="AT57" s="447"/>
      <x:c r="AU57" s="447"/>
      <x:c r="AV57" s="447"/>
      <x:c r="AW57" s="447"/>
      <x:c r="AX57" s="448"/>
      <x:c r="AY57" s="2"/>
      <x:c r="AZ57" s="2"/>
    </x:row>
    <x:row r="58" ht="13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 ht="13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 ht="13.5" customHeight="1">
      <x:c r="A60" s="2"/>
      <x:c r="B60" s="77" t="str">
        <x:v>2.2 状態・イベント定義</x:v>
      </x:c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78"/>
      <x:c r="U60" s="78"/>
      <x:c r="V60" s="78"/>
      <x:c r="W60" s="78"/>
      <x:c r="X60" s="78"/>
      <x:c r="Y60" s="78"/>
      <x:c r="Z60" s="78"/>
      <x:c r="AA60" s="78"/>
      <x:c r="AB60" s="78"/>
      <x:c r="AC60" s="78"/>
      <x:c r="AD60" s="78"/>
      <x:c r="AE60" s="78"/>
      <x:c r="AF60" s="78"/>
      <x:c r="AG60" s="78"/>
      <x:c r="AH60" s="78"/>
      <x:c r="AI60" s="78"/>
      <x:c r="AJ60" s="78"/>
      <x:c r="AK60" s="78"/>
      <x:c r="AL60" s="78"/>
      <x:c r="AM60" s="78"/>
      <x:c r="AN60" s="78"/>
      <x:c r="AO60" s="78"/>
      <x:c r="AP60" s="78"/>
      <x:c r="AQ60" s="78"/>
      <x:c r="AR60" s="78"/>
      <x:c r="AS60" s="78"/>
      <x:c r="AT60" s="78"/>
      <x:c r="AU60" s="78"/>
      <x:c r="AV60" s="78"/>
      <x:c r="AW60" s="78"/>
      <x:c r="AX60" s="79"/>
      <x:c r="AY60" s="2"/>
      <x:c r="AZ60" s="2"/>
    </x:row>
    <x:row r="61" ht="13.5" customHeight="1">
      <x:c r="A61" s="2"/>
      <x:c r="B61" s="80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  <x:c r="AA61" s="81"/>
      <x:c r="AB61" s="81"/>
      <x:c r="AC61" s="81"/>
      <x:c r="AD61" s="81"/>
      <x:c r="AE61" s="81"/>
      <x:c r="AF61" s="81"/>
      <x:c r="AG61" s="81"/>
      <x:c r="AH61" s="81"/>
      <x:c r="AI61" s="81"/>
      <x:c r="AJ61" s="81"/>
      <x:c r="AK61" s="81"/>
      <x:c r="AL61" s="81"/>
      <x:c r="AM61" s="81"/>
      <x:c r="AN61" s="81"/>
      <x:c r="AO61" s="81"/>
      <x:c r="AP61" s="81"/>
      <x:c r="AQ61" s="81"/>
      <x:c r="AR61" s="81"/>
      <x:c r="AS61" s="81"/>
      <x:c r="AT61" s="81"/>
      <x:c r="AU61" s="81"/>
      <x:c r="AV61" s="81"/>
      <x:c r="AW61" s="81"/>
      <x:c r="AX61" s="82"/>
      <x:c r="AY61" s="2"/>
      <x:c r="AZ61" s="2"/>
    </x:row>
    <x:row r="62" ht="13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 ht="13.5" customHeight="1">
      <x:c r="A63" s="2"/>
      <x:c r="B63" s="127" t="str">
        <x:v>遷移ID</x:v>
      </x:c>
      <x:c r="C63" s="127"/>
      <x:c r="D63" s="127"/>
      <x:c r="E63" s="127"/>
      <x:c r="F63" s="127"/>
      <x:c r="G63" s="127" t="str">
        <x:v>遷移元</x:v>
      </x:c>
      <x:c r="H63" s="127"/>
      <x:c r="I63" s="127"/>
      <x:c r="J63" s="127"/>
      <x:c r="K63" s="127"/>
      <x:c r="L63" s="127"/>
      <x:c r="M63" s="127" t="str">
        <x:v>イベント</x:v>
      </x:c>
      <x:c r="N63" s="127"/>
      <x:c r="O63" s="127"/>
      <x:c r="P63" s="127"/>
      <x:c r="Q63" s="127"/>
      <x:c r="R63" s="127"/>
      <x:c r="S63" s="127"/>
      <x:c r="T63" s="127"/>
      <x:c r="U63" s="127" t="str">
        <x:v>ガード／条件</x:v>
      </x:c>
      <x:c r="V63" s="127"/>
      <x:c r="W63" s="127"/>
      <x:c r="X63" s="127"/>
      <x:c r="Y63" s="127"/>
      <x:c r="Z63" s="127"/>
      <x:c r="AA63" s="127"/>
      <x:c r="AB63" s="127"/>
      <x:c r="AC63" s="127"/>
      <x:c r="AD63" s="127"/>
      <x:c r="AE63" s="127"/>
      <x:c r="AF63" s="127"/>
      <x:c r="AG63" s="127"/>
      <x:c r="AH63" s="127"/>
      <x:c r="AI63" s="127" t="str">
        <x:v>遷移先</x:v>
      </x:c>
      <x:c r="AJ63" s="127"/>
      <x:c r="AK63" s="127"/>
      <x:c r="AL63" s="127"/>
      <x:c r="AM63" s="127"/>
      <x:c r="AN63" s="127"/>
      <x:c r="AO63" s="127"/>
      <x:c r="AP63" s="127" t="str">
        <x:v>副作用</x:v>
      </x:c>
      <x:c r="AQ63" s="127"/>
      <x:c r="AR63" s="127"/>
      <x:c r="AS63" s="127"/>
      <x:c r="AT63" s="127"/>
      <x:c r="AU63" s="127"/>
      <x:c r="AV63" s="127"/>
      <x:c r="AW63" s="127"/>
      <x:c r="AX63" s="127"/>
      <x:c r="AY63" s="2"/>
      <x:c r="AZ63" s="2"/>
    </x:row>
    <x:row r="64" ht="13.5" customHeight="1">
      <x:c r="A64" s="2"/>
      <x:c r="B64" s="210" t="str">
        <x:v>TR-01</x:v>
      </x:c>
      <x:c r="C64" s="210"/>
      <x:c r="D64" s="210"/>
      <x:c r="E64" s="210"/>
      <x:c r="F64" s="210"/>
      <x:c r="G64" s="210" t="str">
        <x:v>—</x:v>
      </x:c>
      <x:c r="H64" s="210"/>
      <x:c r="I64" s="210"/>
      <x:c r="J64" s="210"/>
      <x:c r="K64" s="210"/>
      <x:c r="L64" s="210"/>
      <x:c r="M64" s="210" t="str">
        <x:v>新規作成</x:v>
      </x:c>
      <x:c r="N64" s="210"/>
      <x:c r="O64" s="210"/>
      <x:c r="P64" s="210"/>
      <x:c r="Q64" s="210"/>
      <x:c r="R64" s="210"/>
      <x:c r="S64" s="210"/>
      <x:c r="T64" s="210"/>
      <x:c r="U64" s="210" t="str">
        <x:v>認証済み</x:v>
      </x:c>
      <x:c r="V64" s="210"/>
      <x:c r="W64" s="210"/>
      <x:c r="X64" s="210"/>
      <x:c r="Y64" s="210"/>
      <x:c r="Z64" s="210"/>
      <x:c r="AA64" s="210"/>
      <x:c r="AB64" s="210"/>
      <x:c r="AC64" s="210"/>
      <x:c r="AD64" s="210"/>
      <x:c r="AE64" s="210"/>
      <x:c r="AF64" s="210"/>
      <x:c r="AG64" s="210"/>
      <x:c r="AH64" s="210"/>
      <x:c r="AI64" s="210" t="str">
        <x:v>DRAFT</x:v>
      </x:c>
      <x:c r="AJ64" s="210"/>
      <x:c r="AK64" s="210"/>
      <x:c r="AL64" s="210"/>
      <x:c r="AM64" s="210"/>
      <x:c r="AN64" s="210"/>
      <x:c r="AO64" s="210"/>
      <x:c r="AP64" s="210" t="str">
        <x:v>一時保存領域作成</x:v>
      </x:c>
      <x:c r="AQ64" s="210"/>
      <x:c r="AR64" s="210"/>
      <x:c r="AS64" s="210"/>
      <x:c r="AT64" s="210"/>
      <x:c r="AU64" s="210"/>
      <x:c r="AV64" s="210"/>
      <x:c r="AW64" s="210"/>
      <x:c r="AX64" s="210"/>
      <x:c r="AY64" s="2"/>
      <x:c r="AZ64" s="2"/>
    </x:row>
    <x:row r="65" ht="13.5" customHeight="1">
      <x:c r="A65" s="2"/>
      <x:c r="B65" s="210" t="str">
        <x:v>TR-02</x:v>
      </x:c>
      <x:c r="C65" s="210"/>
      <x:c r="D65" s="210"/>
      <x:c r="E65" s="210"/>
      <x:c r="F65" s="210"/>
      <x:c r="G65" s="210" t="str">
        <x:v>DRAFT</x:v>
      </x:c>
      <x:c r="H65" s="210"/>
      <x:c r="I65" s="210"/>
      <x:c r="J65" s="210"/>
      <x:c r="K65" s="210"/>
      <x:c r="L65" s="210"/>
      <x:c r="M65" s="210" t="str">
        <x:v>提出</x:v>
      </x:c>
      <x:c r="N65" s="210"/>
      <x:c r="O65" s="210"/>
      <x:c r="P65" s="210"/>
      <x:c r="Q65" s="210"/>
      <x:c r="R65" s="210"/>
      <x:c r="S65" s="210"/>
      <x:c r="T65" s="210"/>
      <x:c r="U65" s="210" t="str">
        <x:v>必須入力OK、金額&gt;0</x:v>
      </x:c>
      <x:c r="V65" s="210"/>
      <x:c r="W65" s="210"/>
      <x:c r="X65" s="210"/>
      <x:c r="Y65" s="210"/>
      <x:c r="Z65" s="210"/>
      <x:c r="AA65" s="210"/>
      <x:c r="AB65" s="210"/>
      <x:c r="AC65" s="210"/>
      <x:c r="AD65" s="210"/>
      <x:c r="AE65" s="210"/>
      <x:c r="AF65" s="210"/>
      <x:c r="AG65" s="210"/>
      <x:c r="AH65" s="210"/>
      <x:c r="AI65" s="210" t="str">
        <x:v>SUBMITTED</x:v>
      </x:c>
      <x:c r="AJ65" s="210"/>
      <x:c r="AK65" s="210"/>
      <x:c r="AL65" s="210"/>
      <x:c r="AM65" s="210"/>
      <x:c r="AN65" s="210"/>
      <x:c r="AO65" s="210"/>
      <x:c r="AP65" s="210" t="str">
        <x:v>監査ログ記録</x:v>
      </x:c>
      <x:c r="AQ65" s="210"/>
      <x:c r="AR65" s="210"/>
      <x:c r="AS65" s="210"/>
      <x:c r="AT65" s="210"/>
      <x:c r="AU65" s="210"/>
      <x:c r="AV65" s="210"/>
      <x:c r="AW65" s="210"/>
      <x:c r="AX65" s="210"/>
      <x:c r="AY65" s="2"/>
      <x:c r="AZ65" s="2"/>
    </x:row>
    <x:row r="66" ht="13.5" customHeight="1">
      <x:c r="A66" s="2"/>
      <x:c r="B66" s="210" t="str">
        <x:v>TR-03</x:v>
      </x:c>
      <x:c r="C66" s="210"/>
      <x:c r="D66" s="210"/>
      <x:c r="E66" s="210"/>
      <x:c r="F66" s="210"/>
      <x:c r="G66" s="210" t="str">
        <x:v>SUBMITTED</x:v>
      </x:c>
      <x:c r="H66" s="210"/>
      <x:c r="I66" s="210"/>
      <x:c r="J66" s="210"/>
      <x:c r="K66" s="210"/>
      <x:c r="L66" s="210"/>
      <x:c r="M66" s="210" t="str">
        <x:v>受付</x:v>
      </x:c>
      <x:c r="N66" s="210"/>
      <x:c r="O66" s="210"/>
      <x:c r="P66" s="210"/>
      <x:c r="Q66" s="210"/>
      <x:c r="R66" s="210"/>
      <x:c r="S66" s="210"/>
      <x:c r="T66" s="210"/>
      <x:c r="U66" s="210" t="str">
        <x:v>Idempotency-Key未処理</x:v>
      </x:c>
      <x:c r="V66" s="210"/>
      <x:c r="W66" s="210"/>
      <x:c r="X66" s="210"/>
      <x:c r="Y66" s="210"/>
      <x:c r="Z66" s="210"/>
      <x:c r="AA66" s="210"/>
      <x:c r="AB66" s="210"/>
      <x:c r="AC66" s="210"/>
      <x:c r="AD66" s="210"/>
      <x:c r="AE66" s="210"/>
      <x:c r="AF66" s="210"/>
      <x:c r="AG66" s="210"/>
      <x:c r="AH66" s="210"/>
      <x:c r="AI66" s="210" t="str">
        <x:v>PENDING</x:v>
      </x:c>
      <x:c r="AJ66" s="210"/>
      <x:c r="AK66" s="210"/>
      <x:c r="AL66" s="210"/>
      <x:c r="AM66" s="210"/>
      <x:c r="AN66" s="210"/>
      <x:c r="AO66" s="210"/>
      <x:c r="AP66" s="210" t="str">
        <x:v>承認イベント発行</x:v>
      </x:c>
      <x:c r="AQ66" s="210"/>
      <x:c r="AR66" s="210"/>
      <x:c r="AS66" s="210"/>
      <x:c r="AT66" s="210"/>
      <x:c r="AU66" s="210"/>
      <x:c r="AV66" s="210"/>
      <x:c r="AW66" s="210"/>
      <x:c r="AX66" s="210"/>
      <x:c r="AY66" s="2"/>
      <x:c r="AZ66" s="2"/>
    </x:row>
    <x:row r="67" ht="13.5" customHeight="1">
      <x:c r="A67" s="2"/>
      <x:c r="B67" s="210" t="str">
        <x:v>TR-04</x:v>
      </x:c>
      <x:c r="C67" s="210"/>
      <x:c r="D67" s="210"/>
      <x:c r="E67" s="210"/>
      <x:c r="F67" s="210"/>
      <x:c r="G67" s="210" t="str">
        <x:v>PENDING</x:v>
      </x:c>
      <x:c r="H67" s="210"/>
      <x:c r="I67" s="210"/>
      <x:c r="J67" s="210"/>
      <x:c r="K67" s="210"/>
      <x:c r="L67" s="210"/>
      <x:c r="M67" s="210" t="str">
        <x:v>承認</x:v>
      </x:c>
      <x:c r="N67" s="210"/>
      <x:c r="O67" s="210"/>
      <x:c r="P67" s="210"/>
      <x:c r="Q67" s="210"/>
      <x:c r="R67" s="210"/>
      <x:c r="S67" s="210"/>
      <x:c r="T67" s="210"/>
      <x:c r="U67" s="210" t="str">
        <x:v>承認権限あり</x:v>
      </x:c>
      <x:c r="V67" s="210"/>
      <x:c r="W67" s="210"/>
      <x:c r="X67" s="210"/>
      <x:c r="Y67" s="210"/>
      <x:c r="Z67" s="210"/>
      <x:c r="AA67" s="210"/>
      <x:c r="AB67" s="210"/>
      <x:c r="AC67" s="210"/>
      <x:c r="AD67" s="210"/>
      <x:c r="AE67" s="210"/>
      <x:c r="AF67" s="210"/>
      <x:c r="AG67" s="210"/>
      <x:c r="AH67" s="210"/>
      <x:c r="AI67" s="210" t="str">
        <x:v>APPROVED</x:v>
      </x:c>
      <x:c r="AJ67" s="210"/>
      <x:c r="AK67" s="210"/>
      <x:c r="AL67" s="210"/>
      <x:c r="AM67" s="210"/>
      <x:c r="AN67" s="210"/>
      <x:c r="AO67" s="210"/>
      <x:c r="AP67" s="210" t="str">
        <x:v>承認日時を記録</x:v>
      </x:c>
      <x:c r="AQ67" s="210"/>
      <x:c r="AR67" s="210"/>
      <x:c r="AS67" s="210"/>
      <x:c r="AT67" s="210"/>
      <x:c r="AU67" s="210"/>
      <x:c r="AV67" s="210"/>
      <x:c r="AW67" s="210"/>
      <x:c r="AX67" s="210"/>
      <x:c r="AY67" s="2"/>
      <x:c r="AZ67" s="2"/>
    </x:row>
    <x:row r="68" ht="13.5" customHeight="1">
      <x:c r="A68" s="2"/>
      <x:c r="B68" s="210" t="str">
        <x:v>TR-05</x:v>
      </x:c>
      <x:c r="C68" s="210"/>
      <x:c r="D68" s="210"/>
      <x:c r="E68" s="210"/>
      <x:c r="F68" s="210"/>
      <x:c r="G68" s="210" t="str">
        <x:v>PENDING</x:v>
      </x:c>
      <x:c r="H68" s="210"/>
      <x:c r="I68" s="210"/>
      <x:c r="J68" s="210"/>
      <x:c r="K68" s="210"/>
      <x:c r="L68" s="210"/>
      <x:c r="M68" s="210" t="str">
        <x:v>差戻し</x:v>
      </x:c>
      <x:c r="N68" s="210"/>
      <x:c r="O68" s="210"/>
      <x:c r="P68" s="210"/>
      <x:c r="Q68" s="210"/>
      <x:c r="R68" s="210"/>
      <x:c r="S68" s="210"/>
      <x:c r="T68" s="210"/>
      <x:c r="U68" s="210" t="str">
        <x:v>理由1文字以上</x:v>
      </x:c>
      <x:c r="V68" s="210"/>
      <x:c r="W68" s="210"/>
      <x:c r="X68" s="210"/>
      <x:c r="Y68" s="210"/>
      <x:c r="Z68" s="210"/>
      <x:c r="AA68" s="210"/>
      <x:c r="AB68" s="210"/>
      <x:c r="AC68" s="210"/>
      <x:c r="AD68" s="210"/>
      <x:c r="AE68" s="210"/>
      <x:c r="AF68" s="210"/>
      <x:c r="AG68" s="210"/>
      <x:c r="AH68" s="210"/>
      <x:c r="AI68" s="210" t="str">
        <x:v>RETURNED</x:v>
      </x:c>
      <x:c r="AJ68" s="210"/>
      <x:c r="AK68" s="210"/>
      <x:c r="AL68" s="210"/>
      <x:c r="AM68" s="210"/>
      <x:c r="AN68" s="210"/>
      <x:c r="AO68" s="210"/>
      <x:c r="AP68" s="210" t="str">
        <x:v>申請者へ通知</x:v>
      </x:c>
      <x:c r="AQ68" s="210"/>
      <x:c r="AR68" s="210"/>
      <x:c r="AS68" s="210"/>
      <x:c r="AT68" s="210"/>
      <x:c r="AU68" s="210"/>
      <x:c r="AV68" s="210"/>
      <x:c r="AW68" s="210"/>
      <x:c r="AX68" s="210"/>
      <x:c r="AY68" s="2"/>
      <x:c r="AZ68" s="2"/>
    </x:row>
    <x:row r="69" ht="13.5" customHeight="1">
      <x:c r="A69" s="2"/>
      <x:c r="B69" s="210" t="str">
        <x:v>TR-06</x:v>
      </x:c>
      <x:c r="C69" s="210"/>
      <x:c r="D69" s="210"/>
      <x:c r="E69" s="210"/>
      <x:c r="F69" s="210"/>
      <x:c r="G69" s="210" t="str">
        <x:v>RETURNED</x:v>
      </x:c>
      <x:c r="H69" s="210"/>
      <x:c r="I69" s="210"/>
      <x:c r="J69" s="210"/>
      <x:c r="K69" s="210"/>
      <x:c r="L69" s="210"/>
      <x:c r="M69" s="210" t="str">
        <x:v>再提出</x:v>
      </x:c>
      <x:c r="N69" s="210"/>
      <x:c r="O69" s="210"/>
      <x:c r="P69" s="210"/>
      <x:c r="Q69" s="210"/>
      <x:c r="R69" s="210"/>
      <x:c r="S69" s="210"/>
      <x:c r="T69" s="210"/>
      <x:c r="U69" s="210" t="str">
        <x:v>修正後の入力検証OK</x:v>
      </x:c>
      <x:c r="V69" s="210"/>
      <x:c r="W69" s="210"/>
      <x:c r="X69" s="210"/>
      <x:c r="Y69" s="210"/>
      <x:c r="Z69" s="210"/>
      <x:c r="AA69" s="210"/>
      <x:c r="AB69" s="210"/>
      <x:c r="AC69" s="210"/>
      <x:c r="AD69" s="210"/>
      <x:c r="AE69" s="210"/>
      <x:c r="AF69" s="210"/>
      <x:c r="AG69" s="210"/>
      <x:c r="AH69" s="210"/>
      <x:c r="AI69" s="210" t="str">
        <x:v>SUBMITTED</x:v>
      </x:c>
      <x:c r="AJ69" s="210"/>
      <x:c r="AK69" s="210"/>
      <x:c r="AL69" s="210"/>
      <x:c r="AM69" s="210"/>
      <x:c r="AN69" s="210"/>
      <x:c r="AO69" s="210"/>
      <x:c r="AP69" s="210" t="str">
        <x:v>版番号を加算</x:v>
      </x:c>
      <x:c r="AQ69" s="210"/>
      <x:c r="AR69" s="210"/>
      <x:c r="AS69" s="210"/>
      <x:c r="AT69" s="210"/>
      <x:c r="AU69" s="210"/>
      <x:c r="AV69" s="210"/>
      <x:c r="AW69" s="210"/>
      <x:c r="AX69" s="210"/>
      <x:c r="AY69" s="2"/>
      <x:c r="AZ69" s="2"/>
    </x:row>
    <x:row r="70" ht="13.5" customHeight="1">
      <x:c r="A70" s="2"/>
      <x:c r="B70" s="210" t="str">
        <x:v>TR-07</x:v>
      </x:c>
      <x:c r="C70" s="210"/>
      <x:c r="D70" s="210"/>
      <x:c r="E70" s="210"/>
      <x:c r="F70" s="210"/>
      <x:c r="G70" s="210" t="str">
        <x:v>APPROVED</x:v>
      </x:c>
      <x:c r="H70" s="210"/>
      <x:c r="I70" s="210"/>
      <x:c r="J70" s="210"/>
      <x:c r="K70" s="210"/>
      <x:c r="L70" s="210"/>
      <x:c r="M70" s="210" t="str">
        <x:v>会計連携成功</x:v>
      </x:c>
      <x:c r="N70" s="210"/>
      <x:c r="O70" s="210"/>
      <x:c r="P70" s="210"/>
      <x:c r="Q70" s="210"/>
      <x:c r="R70" s="210"/>
      <x:c r="S70" s="210"/>
      <x:c r="T70" s="210"/>
      <x:c r="U70" s="210" t="str">
        <x:v>仕訳番号あり</x:v>
      </x:c>
      <x:c r="V70" s="210"/>
      <x:c r="W70" s="210"/>
      <x:c r="X70" s="210"/>
      <x:c r="Y70" s="210"/>
      <x:c r="Z70" s="210"/>
      <x:c r="AA70" s="210"/>
      <x:c r="AB70" s="210"/>
      <x:c r="AC70" s="210"/>
      <x:c r="AD70" s="210"/>
      <x:c r="AE70" s="210"/>
      <x:c r="AF70" s="210"/>
      <x:c r="AG70" s="210"/>
      <x:c r="AH70" s="210"/>
      <x:c r="AI70" s="210" t="str">
        <x:v>PAYMENT_PENDING</x:v>
      </x:c>
      <x:c r="AJ70" s="210"/>
      <x:c r="AK70" s="210"/>
      <x:c r="AL70" s="210"/>
      <x:c r="AM70" s="210"/>
      <x:c r="AN70" s="210"/>
      <x:c r="AO70" s="210"/>
      <x:c r="AP70" s="210" t="str">
        <x:v>仕訳番号を保存</x:v>
      </x:c>
      <x:c r="AQ70" s="210"/>
      <x:c r="AR70" s="210"/>
      <x:c r="AS70" s="210"/>
      <x:c r="AT70" s="210"/>
      <x:c r="AU70" s="210"/>
      <x:c r="AV70" s="210"/>
      <x:c r="AW70" s="210"/>
      <x:c r="AX70" s="210"/>
      <x:c r="AY70" s="2"/>
      <x:c r="AZ70" s="2"/>
    </x:row>
    <x:row r="71" ht="13.5" customHeight="1">
      <x:c r="A71" s="2"/>
      <x:c r="B71" s="210" t="str">
        <x:v>TR-08</x:v>
      </x:c>
      <x:c r="C71" s="210"/>
      <x:c r="D71" s="210"/>
      <x:c r="E71" s="210"/>
      <x:c r="F71" s="210"/>
      <x:c r="G71" s="210" t="str">
        <x:v>PAYMENT_PENDING</x:v>
      </x:c>
      <x:c r="H71" s="210"/>
      <x:c r="I71" s="210"/>
      <x:c r="J71" s="210"/>
      <x:c r="K71" s="210"/>
      <x:c r="L71" s="210"/>
      <x:c r="M71" s="210" t="str">
        <x:v>支払確定</x:v>
      </x:c>
      <x:c r="N71" s="210"/>
      <x:c r="O71" s="210"/>
      <x:c r="P71" s="210"/>
      <x:c r="Q71" s="210"/>
      <x:c r="R71" s="210"/>
      <x:c r="S71" s="210"/>
      <x:c r="T71" s="210"/>
      <x:c r="U71" s="210" t="str">
        <x:v>支払日あり</x:v>
      </x:c>
      <x:c r="V71" s="210"/>
      <x:c r="W71" s="210"/>
      <x:c r="X71" s="210"/>
      <x:c r="Y71" s="210"/>
      <x:c r="Z71" s="210"/>
      <x:c r="AA71" s="210"/>
      <x:c r="AB71" s="210"/>
      <x:c r="AC71" s="210"/>
      <x:c r="AD71" s="210"/>
      <x:c r="AE71" s="210"/>
      <x:c r="AF71" s="210"/>
      <x:c r="AG71" s="210"/>
      <x:c r="AH71" s="210"/>
      <x:c r="AI71" s="210" t="str">
        <x:v>PAID</x:v>
      </x:c>
      <x:c r="AJ71" s="210"/>
      <x:c r="AK71" s="210"/>
      <x:c r="AL71" s="210"/>
      <x:c r="AM71" s="210"/>
      <x:c r="AN71" s="210"/>
      <x:c r="AO71" s="210"/>
      <x:c r="AP71" s="210" t="str">
        <x:v>完了通知</x:v>
      </x:c>
      <x:c r="AQ71" s="210"/>
      <x:c r="AR71" s="210"/>
      <x:c r="AS71" s="210"/>
      <x:c r="AT71" s="210"/>
      <x:c r="AU71" s="210"/>
      <x:c r="AV71" s="210"/>
      <x:c r="AW71" s="210"/>
      <x:c r="AX71" s="210"/>
      <x:c r="AY71" s="2"/>
      <x:c r="AZ71" s="2"/>
    </x:row>
    <x:row r="72" ht="13.5" customHeight="1">
      <x:c r="A72" s="2"/>
      <x:c r="B72" s="210" t="str">
        <x:v>TR-09</x:v>
      </x:c>
      <x:c r="C72" s="210"/>
      <x:c r="D72" s="210"/>
      <x:c r="E72" s="210"/>
      <x:c r="F72" s="210"/>
      <x:c r="G72" s="210" t="str">
        <x:v>PAYMENT_PENDING</x:v>
      </x:c>
      <x:c r="H72" s="210"/>
      <x:c r="I72" s="210"/>
      <x:c r="J72" s="210"/>
      <x:c r="K72" s="210"/>
      <x:c r="L72" s="210"/>
      <x:c r="M72" s="210" t="str">
        <x:v>連携失敗</x:v>
      </x:c>
      <x:c r="N72" s="210"/>
      <x:c r="O72" s="210"/>
      <x:c r="P72" s="210"/>
      <x:c r="Q72" s="210"/>
      <x:c r="R72" s="210"/>
      <x:c r="S72" s="210"/>
      <x:c r="T72" s="210"/>
      <x:c r="U72" s="210" t="str">
        <x:v>retry_count &gt;= 5</x:v>
      </x:c>
      <x:c r="V72" s="210"/>
      <x:c r="W72" s="210"/>
      <x:c r="X72" s="210"/>
      <x:c r="Y72" s="210"/>
      <x:c r="Z72" s="210"/>
      <x:c r="AA72" s="210"/>
      <x:c r="AB72" s="210"/>
      <x:c r="AC72" s="210"/>
      <x:c r="AD72" s="210"/>
      <x:c r="AE72" s="210"/>
      <x:c r="AF72" s="210"/>
      <x:c r="AG72" s="210"/>
      <x:c r="AH72" s="210"/>
      <x:c r="AI72" s="210" t="str">
        <x:v>ERROR</x:v>
      </x:c>
      <x:c r="AJ72" s="210"/>
      <x:c r="AK72" s="210"/>
      <x:c r="AL72" s="210"/>
      <x:c r="AM72" s="210"/>
      <x:c r="AN72" s="210"/>
      <x:c r="AO72" s="210"/>
      <x:c r="AP72" s="210" t="str">
        <x:v>DLQ登録・運用アラート</x:v>
      </x:c>
      <x:c r="AQ72" s="210"/>
      <x:c r="AR72" s="210"/>
      <x:c r="AS72" s="210"/>
      <x:c r="AT72" s="210"/>
      <x:c r="AU72" s="210"/>
      <x:c r="AV72" s="210"/>
      <x:c r="AW72" s="210"/>
      <x:c r="AX72" s="210"/>
      <x:c r="AY72" s="2"/>
      <x:c r="AZ72" s="2"/>
    </x:row>
    <x:row r="73" ht="13.5" customHeight="1">
      <x:c r="A73" s="2"/>
      <x:c r="B73" s="210" t="str">
        <x:v>TR-10</x:v>
      </x:c>
      <x:c r="C73" s="210"/>
      <x:c r="D73" s="210"/>
      <x:c r="E73" s="210"/>
      <x:c r="F73" s="210"/>
      <x:c r="G73" s="210" t="str">
        <x:v>ERROR</x:v>
      </x:c>
      <x:c r="H73" s="210"/>
      <x:c r="I73" s="210"/>
      <x:c r="J73" s="210"/>
      <x:c r="K73" s="210"/>
      <x:c r="L73" s="210"/>
      <x:c r="M73" s="210" t="str">
        <x:v>手動再送</x:v>
      </x:c>
      <x:c r="N73" s="210"/>
      <x:c r="O73" s="210"/>
      <x:c r="P73" s="210"/>
      <x:c r="Q73" s="210"/>
      <x:c r="R73" s="210"/>
      <x:c r="S73" s="210"/>
      <x:c r="T73" s="210"/>
      <x:c r="U73" s="210" t="str">
        <x:v>原因解消済・運用権限あり</x:v>
      </x:c>
      <x:c r="V73" s="210"/>
      <x:c r="W73" s="210"/>
      <x:c r="X73" s="210"/>
      <x:c r="Y73" s="210"/>
      <x:c r="Z73" s="210"/>
      <x:c r="AA73" s="210"/>
      <x:c r="AB73" s="210"/>
      <x:c r="AC73" s="210"/>
      <x:c r="AD73" s="210"/>
      <x:c r="AE73" s="210"/>
      <x:c r="AF73" s="210"/>
      <x:c r="AG73" s="210"/>
      <x:c r="AH73" s="210"/>
      <x:c r="AI73" s="210" t="str">
        <x:v>PAYMENT_PENDING</x:v>
      </x:c>
      <x:c r="AJ73" s="210"/>
      <x:c r="AK73" s="210"/>
      <x:c r="AL73" s="210"/>
      <x:c r="AM73" s="210"/>
      <x:c r="AN73" s="210"/>
      <x:c r="AO73" s="210"/>
      <x:c r="AP73" s="210" t="str">
        <x:v>retry_countを0へ戻す</x:v>
      </x:c>
      <x:c r="AQ73" s="210"/>
      <x:c r="AR73" s="210"/>
      <x:c r="AS73" s="210"/>
      <x:c r="AT73" s="210"/>
      <x:c r="AU73" s="210"/>
      <x:c r="AV73" s="210"/>
      <x:c r="AW73" s="210"/>
      <x:c r="AX73" s="210"/>
      <x:c r="AY73" s="2"/>
      <x:c r="AZ73" s="2"/>
    </x:row>
    <x:row r="74" ht="13.5" customHeight="1">
      <x:c r="A74" s="2"/>
      <x:c r="B74" s="210" t="str">
        <x:v>TR-11</x:v>
      </x:c>
      <x:c r="C74" s="210"/>
      <x:c r="D74" s="210"/>
      <x:c r="E74" s="210"/>
      <x:c r="F74" s="210"/>
      <x:c r="G74" s="210" t="str">
        <x:v>DRAFT</x:v>
      </x:c>
      <x:c r="H74" s="210"/>
      <x:c r="I74" s="210"/>
      <x:c r="J74" s="210"/>
      <x:c r="K74" s="210"/>
      <x:c r="L74" s="210"/>
      <x:c r="M74" s="210" t="str">
        <x:v>取消</x:v>
      </x:c>
      <x:c r="N74" s="210"/>
      <x:c r="O74" s="210"/>
      <x:c r="P74" s="210"/>
      <x:c r="Q74" s="210"/>
      <x:c r="R74" s="210"/>
      <x:c r="S74" s="210"/>
      <x:c r="T74" s="210"/>
      <x:c r="U74" s="210" t="str">
        <x:v>未提出</x:v>
      </x:c>
      <x:c r="V74" s="210"/>
      <x:c r="W74" s="210"/>
      <x:c r="X74" s="210"/>
      <x:c r="Y74" s="210"/>
      <x:c r="Z74" s="210"/>
      <x:c r="AA74" s="210"/>
      <x:c r="AB74" s="210"/>
      <x:c r="AC74" s="210"/>
      <x:c r="AD74" s="210"/>
      <x:c r="AE74" s="210"/>
      <x:c r="AF74" s="210"/>
      <x:c r="AG74" s="210"/>
      <x:c r="AH74" s="210"/>
      <x:c r="AI74" s="210" t="str">
        <x:v>CANCELLED</x:v>
      </x:c>
      <x:c r="AJ74" s="210"/>
      <x:c r="AK74" s="210"/>
      <x:c r="AL74" s="210"/>
      <x:c r="AM74" s="210"/>
      <x:c r="AN74" s="210"/>
      <x:c r="AO74" s="210"/>
      <x:c r="AP74" s="210" t="str">
        <x:v>論理削除</x:v>
      </x:c>
      <x:c r="AQ74" s="210"/>
      <x:c r="AR74" s="210"/>
      <x:c r="AS74" s="210"/>
      <x:c r="AT74" s="210"/>
      <x:c r="AU74" s="210"/>
      <x:c r="AV74" s="210"/>
      <x:c r="AW74" s="210"/>
      <x:c r="AX74" s="210"/>
      <x:c r="AY74" s="2"/>
      <x:c r="AZ74" s="2"/>
    </x:row>
    <x:row r="75" ht="13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 ht="13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 ht="13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 ht="13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 ht="13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 ht="13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 ht="13.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 ht="13.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 ht="13.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 ht="13.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 ht="13.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 ht="13.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 ht="13.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 ht="13.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</x:sheetData>
  <x:mergeCells>
    <x:mergeCell ref="A1:AZ2"/>
    <x:mergeCell ref="A3:AZ3"/>
    <x:mergeCell ref="A4:L4"/>
    <x:mergeCell ref="M4:R4"/>
    <x:mergeCell ref="S4:AE4"/>
    <x:mergeCell ref="AF4:AQ4"/>
    <x:mergeCell ref="AR4:AZ4"/>
    <x:mergeCell ref="B5:AX6"/>
    <x:mergeCell ref="D8:G8"/>
    <x:mergeCell ref="H8:O12"/>
    <x:mergeCell ref="P8:T8"/>
    <x:mergeCell ref="U8:AB12"/>
    <x:mergeCell ref="AC8:AG8"/>
    <x:mergeCell ref="AH8:AO12"/>
    <x:mergeCell ref="AR8:AY12"/>
    <x:mergeCell ref="H21:O25"/>
    <x:mergeCell ref="AH21:AO25"/>
    <x:mergeCell ref="AH34:AO38"/>
    <x:mergeCell ref="AR34:AY38"/>
    <x:mergeCell ref="AH47:AO51"/>
    <x:mergeCell ref="AL14:AQ15"/>
    <x:mergeCell ref="AP7:AY7"/>
    <x:mergeCell ref="Z17:AH18"/>
    <x:mergeCell ref="L16:R17"/>
    <x:mergeCell ref="AL29:AS30"/>
    <x:mergeCell ref="AP31:AY32"/>
    <x:mergeCell ref="AL40:AU41"/>
    <x:mergeCell ref="AL42:AS43"/>
    <x:mergeCell ref="AP47:AT47"/>
    <x:mergeCell ref="C55:AX57"/>
    <x:mergeCell ref="B60:AX61"/>
    <x:mergeCell ref="B63:F63"/>
    <x:mergeCell ref="G63:L63"/>
    <x:mergeCell ref="M63:T63"/>
    <x:mergeCell ref="U63:AH63"/>
    <x:mergeCell ref="AI63:AO63"/>
    <x:mergeCell ref="AP63:AX63"/>
    <x:mergeCell ref="B64:F64"/>
    <x:mergeCell ref="G64:L64"/>
    <x:mergeCell ref="M64:T64"/>
    <x:mergeCell ref="U64:AH64"/>
    <x:mergeCell ref="AI64:AO64"/>
    <x:mergeCell ref="AP64:AX64"/>
    <x:mergeCell ref="B65:F65"/>
    <x:mergeCell ref="G65:L65"/>
    <x:mergeCell ref="M65:T65"/>
    <x:mergeCell ref="U65:AH65"/>
    <x:mergeCell ref="AI65:AO65"/>
    <x:mergeCell ref="AP65:AX65"/>
    <x:mergeCell ref="B66:F66"/>
    <x:mergeCell ref="G66:L66"/>
    <x:mergeCell ref="M66:T66"/>
    <x:mergeCell ref="U66:AH66"/>
    <x:mergeCell ref="AI66:AO66"/>
    <x:mergeCell ref="AP66:AX66"/>
    <x:mergeCell ref="B67:F67"/>
    <x:mergeCell ref="G67:L67"/>
    <x:mergeCell ref="M67:T67"/>
    <x:mergeCell ref="U67:AH67"/>
    <x:mergeCell ref="AI67:AO67"/>
    <x:mergeCell ref="AP67:AX67"/>
    <x:mergeCell ref="B68:F68"/>
    <x:mergeCell ref="G68:L68"/>
    <x:mergeCell ref="M68:T68"/>
    <x:mergeCell ref="U68:AH68"/>
    <x:mergeCell ref="AI68:AO68"/>
    <x:mergeCell ref="AP68:AX68"/>
    <x:mergeCell ref="B69:F69"/>
    <x:mergeCell ref="G69:L69"/>
    <x:mergeCell ref="M69:T69"/>
    <x:mergeCell ref="U69:AH69"/>
    <x:mergeCell ref="AI69:AO69"/>
    <x:mergeCell ref="AP69:AX69"/>
    <x:mergeCell ref="B70:F70"/>
    <x:mergeCell ref="G70:L70"/>
    <x:mergeCell ref="M70:T70"/>
    <x:mergeCell ref="U70:AH70"/>
    <x:mergeCell ref="AI70:AO70"/>
    <x:mergeCell ref="AP70:AX70"/>
    <x:mergeCell ref="B71:F71"/>
    <x:mergeCell ref="G71:L71"/>
    <x:mergeCell ref="M71:T71"/>
    <x:mergeCell ref="U71:AH71"/>
    <x:mergeCell ref="AI71:AO71"/>
    <x:mergeCell ref="AP71:AX71"/>
    <x:mergeCell ref="B72:F72"/>
    <x:mergeCell ref="G72:L72"/>
    <x:mergeCell ref="M72:T72"/>
    <x:mergeCell ref="U72:AH72"/>
    <x:mergeCell ref="AI72:AO72"/>
    <x:mergeCell ref="AP72:AX72"/>
    <x:mergeCell ref="B73:F73"/>
    <x:mergeCell ref="G73:L73"/>
    <x:mergeCell ref="M73:T73"/>
    <x:mergeCell ref="U73:AH73"/>
    <x:mergeCell ref="AI73:AO73"/>
    <x:mergeCell ref="AP73:AX73"/>
    <x:mergeCell ref="B74:F74"/>
    <x:mergeCell ref="G74:L74"/>
    <x:mergeCell ref="M74:T74"/>
    <x:mergeCell ref="U74:AH74"/>
    <x:mergeCell ref="AI74:AO74"/>
    <x:mergeCell ref="AP74:AX74"/>
  </x:mergeCells>
  <x:pageMargins left="0.7" right="0.7" top="0.75" bottom="0.75" header="0.3" footer="0.3"/>
  <x:drawing xmlns:r="http://schemas.openxmlformats.org/officeDocument/2006/relationships" r:id="R93e9188ee9b94601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</x:cols>
  <x:sheetData>
    <x:row r="1" ht="13.5" customHeight="1">
      <x:c r="A1" s="131" t="str">
        <x:v>03 シーケンス図（経費申請の提出）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  <x:c r="N1" s="131"/>
      <x:c r="O1" s="131"/>
      <x:c r="P1" s="131"/>
      <x:c r="Q1" s="131"/>
      <x:c r="R1" s="131"/>
      <x:c r="S1" s="131"/>
      <x:c r="T1" s="131"/>
      <x:c r="U1" s="131"/>
      <x:c r="V1" s="131"/>
      <x:c r="W1" s="131"/>
      <x:c r="X1" s="131"/>
      <x:c r="Y1" s="131"/>
      <x:c r="Z1" s="131"/>
      <x:c r="AA1" s="131"/>
      <x:c r="AB1" s="131"/>
      <x:c r="AC1" s="131"/>
      <x:c r="AD1" s="131"/>
      <x:c r="AE1" s="131"/>
      <x:c r="AF1" s="131"/>
      <x:c r="AG1" s="131"/>
      <x:c r="AH1" s="131"/>
      <x:c r="AI1" s="131"/>
      <x:c r="AJ1" s="131"/>
      <x:c r="AK1" s="131"/>
      <x:c r="AL1" s="131"/>
      <x:c r="AM1" s="131"/>
      <x:c r="AN1" s="131"/>
      <x:c r="AO1" s="131"/>
      <x:c r="AP1" s="131"/>
      <x:c r="AQ1" s="131"/>
      <x:c r="AR1" s="131"/>
      <x:c r="AS1" s="131"/>
      <x:c r="AT1" s="131"/>
      <x:c r="AU1" s="131"/>
      <x:c r="AV1" s="131"/>
      <x:c r="AW1" s="131"/>
      <x:c r="AX1" s="131"/>
      <x:c r="AY1" s="131"/>
      <x:c r="AZ1" s="131"/>
      <x:c r="BA1" s="131"/>
      <x:c r="BB1" s="131"/>
      <x:c r="BC1" s="131"/>
      <x:c r="BD1" s="131"/>
      <x:c r="BE1" s="131"/>
      <x:c r="BF1" s="131"/>
    </x:row>
    <x:row r="2" ht="13.5" customHeight="1">
      <x:c r="A2" s="131"/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  <x:c r="Q2" s="131"/>
      <x:c r="R2" s="131"/>
      <x:c r="S2" s="131"/>
      <x:c r="T2" s="131"/>
      <x:c r="U2" s="131"/>
      <x:c r="V2" s="131"/>
      <x:c r="W2" s="131"/>
      <x:c r="X2" s="131"/>
      <x:c r="Y2" s="131"/>
      <x:c r="Z2" s="131"/>
      <x:c r="AA2" s="131"/>
      <x:c r="AB2" s="131"/>
      <x:c r="AC2" s="131"/>
      <x:c r="AD2" s="131"/>
      <x:c r="AE2" s="131"/>
      <x:c r="AF2" s="131"/>
      <x:c r="AG2" s="131"/>
      <x:c r="AH2" s="131"/>
      <x:c r="AI2" s="131"/>
      <x:c r="AJ2" s="131"/>
      <x:c r="AK2" s="131"/>
      <x:c r="AL2" s="131"/>
      <x:c r="AM2" s="131"/>
      <x:c r="AN2" s="131"/>
      <x:c r="AO2" s="131"/>
      <x:c r="AP2" s="131"/>
      <x:c r="AQ2" s="131"/>
      <x:c r="AR2" s="131"/>
      <x:c r="AS2" s="131"/>
      <x:c r="AT2" s="131"/>
      <x:c r="AU2" s="131"/>
      <x:c r="AV2" s="131"/>
      <x:c r="AW2" s="131"/>
      <x:c r="AX2" s="131"/>
      <x:c r="AY2" s="131"/>
      <x:c r="AZ2" s="131"/>
      <x:c r="BA2" s="131"/>
      <x:c r="BB2" s="131"/>
      <x:c r="BC2" s="131"/>
      <x:c r="BD2" s="131"/>
      <x:c r="BE2" s="131"/>
      <x:c r="BF2" s="131"/>
    </x:row>
    <x:row r="3" ht="13.5" customHeight="1">
      <x:c r="A3" s="135" t="str">
        <x:v>SQ-01。同期応答とOutbox後続処理を分離し、トランザクション境界・異常終了・非同期再送を明示する。</x:v>
      </x:c>
      <x:c r="B3" s="135"/>
      <x:c r="C3" s="135"/>
      <x:c r="D3" s="135"/>
      <x:c r="E3" s="135"/>
      <x:c r="F3" s="135"/>
      <x:c r="G3" s="135"/>
      <x:c r="H3" s="135"/>
      <x:c r="I3" s="135"/>
      <x:c r="J3" s="135"/>
      <x:c r="K3" s="135"/>
      <x:c r="L3" s="135"/>
      <x:c r="M3" s="135"/>
      <x:c r="N3" s="135"/>
      <x:c r="O3" s="135"/>
      <x:c r="P3" s="135"/>
      <x:c r="Q3" s="135"/>
      <x:c r="R3" s="135"/>
      <x:c r="S3" s="135"/>
      <x:c r="T3" s="135"/>
      <x:c r="U3" s="135"/>
      <x:c r="V3" s="135"/>
      <x:c r="W3" s="135"/>
      <x:c r="X3" s="135"/>
      <x:c r="Y3" s="135"/>
      <x:c r="Z3" s="135"/>
      <x:c r="AA3" s="135"/>
      <x:c r="AB3" s="135"/>
      <x:c r="AC3" s="135"/>
      <x:c r="AD3" s="135"/>
      <x:c r="AE3" s="135"/>
      <x:c r="AF3" s="135"/>
      <x:c r="AG3" s="135"/>
      <x:c r="AH3" s="135"/>
      <x:c r="AI3" s="135"/>
      <x:c r="AJ3" s="135"/>
      <x:c r="AK3" s="135"/>
      <x:c r="AL3" s="135"/>
      <x:c r="AM3" s="135"/>
      <x:c r="AN3" s="135"/>
      <x:c r="AO3" s="135"/>
      <x:c r="AP3" s="135"/>
      <x:c r="AQ3" s="135"/>
      <x:c r="AR3" s="135"/>
      <x:c r="AS3" s="135"/>
      <x:c r="AT3" s="135"/>
      <x:c r="AU3" s="135"/>
      <x:c r="AV3" s="135"/>
      <x:c r="AW3" s="135"/>
      <x:c r="AX3" s="135"/>
      <x:c r="AY3" s="135"/>
      <x:c r="AZ3" s="135"/>
      <x:c r="BA3" s="135"/>
      <x:c r="BB3" s="135"/>
      <x:c r="BC3" s="135"/>
      <x:c r="BD3" s="135"/>
      <x:c r="BE3" s="135"/>
      <x:c r="BF3" s="135"/>
    </x:row>
    <x:row r="4" ht="13.5" customHeight="1">
      <x:c r="A4" s="140" t="str">
        <x:v>文書ID: EXPS-DES-03</x:v>
      </x:c>
      <x:c r="B4" s="140"/>
      <x:c r="C4" s="140"/>
      <x:c r="D4" s="140"/>
      <x:c r="E4" s="140"/>
      <x:c r="F4" s="140"/>
      <x:c r="G4" s="140"/>
      <x:c r="H4" s="140"/>
      <x:c r="I4" s="140"/>
      <x:c r="J4" s="140"/>
      <x:c r="K4" s="140"/>
      <x:c r="L4" s="140"/>
      <x:c r="M4" s="140" t="str">
        <x:v>版: 1.2</x:v>
      </x:c>
      <x:c r="N4" s="140"/>
      <x:c r="O4" s="140"/>
      <x:c r="P4" s="140"/>
      <x:c r="Q4" s="140"/>
      <x:c r="R4" s="140"/>
      <x:c r="S4" s="140" t="str">
        <x:v>状態: レビュー中</x:v>
      </x:c>
      <x:c r="T4" s="140"/>
      <x:c r="U4" s="140"/>
      <x:c r="V4" s="140"/>
      <x:c r="W4" s="140"/>
      <x:c r="X4" s="140"/>
      <x:c r="Y4" s="140"/>
      <x:c r="Z4" s="140"/>
      <x:c r="AA4" s="140"/>
      <x:c r="AB4" s="140"/>
      <x:c r="AC4" s="140"/>
      <x:c r="AD4" s="140"/>
      <x:c r="AE4" s="140"/>
      <x:c r="AF4" s="140" t="str">
        <x:v>主管: 業務システム部</x:v>
      </x:c>
      <x:c r="AG4" s="140"/>
      <x:c r="AH4" s="140"/>
      <x:c r="AI4" s="140"/>
      <x:c r="AJ4" s="140"/>
      <x:c r="AK4" s="140"/>
      <x:c r="AL4" s="140"/>
      <x:c r="AM4" s="140"/>
      <x:c r="AN4" s="140"/>
      <x:c r="AO4" s="140"/>
      <x:c r="AP4" s="140"/>
      <x:c r="AQ4" s="140"/>
      <x:c r="AR4" s="140" t="str">
        <x:v>更新: 2026-08-23</x:v>
      </x:c>
      <x:c r="AS4" s="140"/>
      <x:c r="AT4" s="140"/>
      <x:c r="AU4" s="140"/>
      <x:c r="AV4" s="140"/>
      <x:c r="AW4" s="140"/>
      <x:c r="AX4" s="140"/>
      <x:c r="AY4" s="140"/>
      <x:c r="AZ4" s="140"/>
      <x:c r="BA4" s="140"/>
      <x:c r="BB4" s="140"/>
      <x:c r="BC4" s="140"/>
      <x:c r="BD4" s="140"/>
      <x:c r="BE4" s="140"/>
      <x:c r="BF4" s="140"/>
    </x:row>
    <x:row r="5" ht="13.5" customHeight="1">
      <x:c r="A5" s="2"/>
      <x:c r="B5" s="77" t="str">
        <x:v>3.1 SQ-01 申請受付〜承認タスク生成</x:v>
      </x:c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  <x:c r="AA5" s="78"/>
      <x:c r="AB5" s="78"/>
      <x:c r="AC5" s="78"/>
      <x:c r="AD5" s="78"/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8"/>
      <x:c r="AY5" s="78"/>
      <x:c r="AZ5" s="78"/>
      <x:c r="BA5" s="78"/>
      <x:c r="BB5" s="78"/>
      <x:c r="BC5" s="78"/>
      <x:c r="BD5" s="79"/>
      <x:c r="BE5" s="2"/>
      <x:c r="BF5" s="2"/>
    </x:row>
    <x:row r="6" ht="13.5" customHeight="1">
      <x:c r="A6" s="2"/>
      <x:c r="B6" s="80"/>
      <x:c r="C6" s="8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  <x:c r="AA6" s="81"/>
      <x:c r="AB6" s="81"/>
      <x:c r="AC6" s="81"/>
      <x:c r="AD6" s="81"/>
      <x:c r="AE6" s="81"/>
      <x:c r="AF6" s="81"/>
      <x:c r="AG6" s="81"/>
      <x:c r="AH6" s="81"/>
      <x:c r="AI6" s="81"/>
      <x:c r="AJ6" s="81"/>
      <x:c r="AK6" s="81"/>
      <x:c r="AL6" s="81"/>
      <x:c r="AM6" s="81"/>
      <x:c r="AN6" s="81"/>
      <x:c r="AO6" s="81"/>
      <x:c r="AP6" s="81"/>
      <x:c r="AQ6" s="81"/>
      <x:c r="AR6" s="81"/>
      <x:c r="AS6" s="81"/>
      <x:c r="AT6" s="81"/>
      <x:c r="AU6" s="81"/>
      <x:c r="AV6" s="81"/>
      <x:c r="AW6" s="81"/>
      <x:c r="AX6" s="81"/>
      <x:c r="AY6" s="81"/>
      <x:c r="AZ6" s="81"/>
      <x:c r="BA6" s="81"/>
      <x:c r="BB6" s="81"/>
      <x:c r="BC6" s="81"/>
      <x:c r="BD6" s="82"/>
      <x:c r="BE6" s="2"/>
      <x:c r="BF6" s="2"/>
    </x:row>
    <x:row r="7" ht="13.5" customHeight="1">
      <x:c r="A7" s="468" t="str">
        <x:v>sd  SQ-01</x:v>
      </x:c>
      <x:c r="B7" s="469"/>
      <x:c r="C7" s="469"/>
      <x:c r="D7" s="469"/>
      <x:c r="E7" s="469"/>
      <x:c r="F7" s="469"/>
      <x:c r="G7" s="469"/>
      <x:c r="H7" s="470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</x:row>
    <x:row r="8" ht="13.5" customHeight="1">
      <x:c r="A8" s="471"/>
      <x:c r="B8" s="472"/>
      <x:c r="C8" s="472"/>
      <x:c r="D8" s="472"/>
      <x:c r="E8" s="472"/>
      <x:c r="F8" s="472"/>
      <x:c r="G8" s="472"/>
      <x:c r="H8" s="473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</x:row>
    <x:row r="9" ht="13.5" customHeight="1">
      <x:c r="A9" s="2"/>
      <x:c r="B9" s="144" t="str">
        <x:v>申請者</x:v>
      </x:c>
      <x:c r="C9" s="144"/>
      <x:c r="D9" s="144"/>
      <x:c r="E9" s="144"/>
      <x:c r="F9" s="144"/>
      <x:c r="G9" s="144"/>
      <x:c r="H9" s="2"/>
      <x:c r="I9" s="144" t="str">
        <x:v>Web UI</x:v>
      </x:c>
      <x:c r="J9" s="144"/>
      <x:c r="K9" s="144"/>
      <x:c r="L9" s="144"/>
      <x:c r="M9" s="144"/>
      <x:c r="N9" s="144"/>
      <x:c r="O9" s="2"/>
      <x:c r="P9" s="144" t="str">
        <x:v>Expense API</x:v>
      </x:c>
      <x:c r="Q9" s="144"/>
      <x:c r="R9" s="144"/>
      <x:c r="S9" s="144"/>
      <x:c r="T9" s="144"/>
      <x:c r="U9" s="144"/>
      <x:c r="V9" s="144"/>
      <x:c r="W9" s="144"/>
      <x:c r="X9" s="2"/>
      <x:c r="Y9" s="144" t="str">
        <x:v>PostgreSQL</x:v>
      </x:c>
      <x:c r="Z9" s="144"/>
      <x:c r="AA9" s="144"/>
      <x:c r="AB9" s="144"/>
      <x:c r="AC9" s="144"/>
      <x:c r="AD9" s="144"/>
      <x:c r="AE9" s="144"/>
      <x:c r="AF9" s="2"/>
      <x:c r="AG9" s="144" t="str">
        <x:v>Outbox
Worker</x:v>
      </x:c>
      <x:c r="AH9" s="144"/>
      <x:c r="AI9" s="144"/>
      <x:c r="AJ9" s="144"/>
      <x:c r="AK9" s="144"/>
      <x:c r="AL9" s="144"/>
      <x:c r="AM9" s="144"/>
      <x:c r="AN9" s="2"/>
      <x:c r="AO9" s="144" t="str">
        <x:v>Event Bus</x:v>
      </x:c>
      <x:c r="AP9" s="144"/>
      <x:c r="AQ9" s="144"/>
      <x:c r="AR9" s="144"/>
      <x:c r="AS9" s="144"/>
      <x:c r="AT9" s="144"/>
      <x:c r="AU9" s="144"/>
      <x:c r="AV9" s="2"/>
      <x:c r="AW9" s="2"/>
      <x:c r="AX9" s="144" t="str">
        <x:v>承認サービス</x:v>
      </x:c>
      <x:c r="AY9" s="144"/>
      <x:c r="AZ9" s="144"/>
      <x:c r="BA9" s="144"/>
      <x:c r="BB9" s="144"/>
      <x:c r="BC9" s="144"/>
      <x:c r="BD9" s="144"/>
      <x:c r="BE9" s="144"/>
      <x:c r="BF9" s="2"/>
    </x:row>
    <x:row r="10" ht="13.5" customHeight="1">
      <x:c r="A10" s="2"/>
      <x:c r="B10" s="144"/>
      <x:c r="C10" s="144"/>
      <x:c r="D10" s="144"/>
      <x:c r="E10" s="144"/>
      <x:c r="F10" s="144"/>
      <x:c r="G10" s="144"/>
      <x:c r="H10" s="2"/>
      <x:c r="I10" s="144"/>
      <x:c r="J10" s="144"/>
      <x:c r="K10" s="144"/>
      <x:c r="L10" s="144"/>
      <x:c r="M10" s="144"/>
      <x:c r="N10" s="144"/>
      <x:c r="O10" s="2"/>
      <x:c r="P10" s="144"/>
      <x:c r="Q10" s="144"/>
      <x:c r="R10" s="144"/>
      <x:c r="S10" s="144"/>
      <x:c r="T10" s="144"/>
      <x:c r="U10" s="144"/>
      <x:c r="V10" s="144"/>
      <x:c r="W10" s="144"/>
      <x:c r="X10" s="2"/>
      <x:c r="Y10" s="144"/>
      <x:c r="Z10" s="144"/>
      <x:c r="AA10" s="144"/>
      <x:c r="AB10" s="144"/>
      <x:c r="AC10" s="144"/>
      <x:c r="AD10" s="144"/>
      <x:c r="AE10" s="144"/>
      <x:c r="AF10" s="2"/>
      <x:c r="AG10" s="144"/>
      <x:c r="AH10" s="144"/>
      <x:c r="AI10" s="144"/>
      <x:c r="AJ10" s="144"/>
      <x:c r="AK10" s="144"/>
      <x:c r="AL10" s="144"/>
      <x:c r="AM10" s="144"/>
      <x:c r="AN10" s="2"/>
      <x:c r="AO10" s="144"/>
      <x:c r="AP10" s="144"/>
      <x:c r="AQ10" s="144"/>
      <x:c r="AR10" s="144"/>
      <x:c r="AS10" s="144"/>
      <x:c r="AT10" s="144"/>
      <x:c r="AU10" s="144"/>
      <x:c r="AV10" s="2"/>
      <x:c r="AW10" s="2"/>
      <x:c r="AX10" s="144"/>
      <x:c r="AY10" s="144"/>
      <x:c r="AZ10" s="144"/>
      <x:c r="BA10" s="144"/>
      <x:c r="BB10" s="144"/>
      <x:c r="BC10" s="144"/>
      <x:c r="BD10" s="144"/>
      <x:c r="BE10" s="144"/>
      <x:c r="BF10" s="2"/>
    </x:row>
    <x:row r="11" ht="13.5" customHeight="1">
      <x:c r="A11" s="2"/>
      <x:c r="B11" s="144"/>
      <x:c r="C11" s="144"/>
      <x:c r="D11" s="144"/>
      <x:c r="E11" s="144"/>
      <x:c r="F11" s="144"/>
      <x:c r="G11" s="144"/>
      <x:c r="H11" s="2"/>
      <x:c r="I11" s="144"/>
      <x:c r="J11" s="144"/>
      <x:c r="K11" s="144"/>
      <x:c r="L11" s="144"/>
      <x:c r="M11" s="144"/>
      <x:c r="N11" s="144"/>
      <x:c r="O11" s="2"/>
      <x:c r="P11" s="144"/>
      <x:c r="Q11" s="144"/>
      <x:c r="R11" s="144"/>
      <x:c r="S11" s="144"/>
      <x:c r="T11" s="144"/>
      <x:c r="U11" s="144"/>
      <x:c r="V11" s="144"/>
      <x:c r="W11" s="144"/>
      <x:c r="X11" s="2"/>
      <x:c r="Y11" s="144"/>
      <x:c r="Z11" s="144"/>
      <x:c r="AA11" s="144"/>
      <x:c r="AB11" s="144"/>
      <x:c r="AC11" s="144"/>
      <x:c r="AD11" s="144"/>
      <x:c r="AE11" s="144"/>
      <x:c r="AF11" s="2"/>
      <x:c r="AG11" s="144"/>
      <x:c r="AH11" s="144"/>
      <x:c r="AI11" s="144"/>
      <x:c r="AJ11" s="144"/>
      <x:c r="AK11" s="144"/>
      <x:c r="AL11" s="144"/>
      <x:c r="AM11" s="144"/>
      <x:c r="AN11" s="2"/>
      <x:c r="AO11" s="144"/>
      <x:c r="AP11" s="144"/>
      <x:c r="AQ11" s="144"/>
      <x:c r="AR11" s="144"/>
      <x:c r="AS11" s="144"/>
      <x:c r="AT11" s="144"/>
      <x:c r="AU11" s="144"/>
      <x:c r="AV11" s="2"/>
      <x:c r="AW11" s="2"/>
      <x:c r="AX11" s="144"/>
      <x:c r="AY11" s="144"/>
      <x:c r="AZ11" s="144"/>
      <x:c r="BA11" s="144"/>
      <x:c r="BB11" s="144"/>
      <x:c r="BC11" s="144"/>
      <x:c r="BD11" s="144"/>
      <x:c r="BE11" s="144"/>
      <x:c r="BF11" s="2"/>
    </x:row>
    <x:row r="12" ht="13.5" customHeight="1">
      <x:c r="A12" s="2"/>
      <x:c r="B12" s="144"/>
      <x:c r="C12" s="144"/>
      <x:c r="D12" s="144"/>
      <x:c r="E12" s="144"/>
      <x:c r="F12" s="144"/>
      <x:c r="G12" s="144"/>
      <x:c r="H12" s="2"/>
      <x:c r="I12" s="144"/>
      <x:c r="J12" s="144"/>
      <x:c r="K12" s="144"/>
      <x:c r="L12" s="144"/>
      <x:c r="M12" s="144"/>
      <x:c r="N12" s="144"/>
      <x:c r="O12" s="2"/>
      <x:c r="P12" s="144"/>
      <x:c r="Q12" s="144"/>
      <x:c r="R12" s="144"/>
      <x:c r="S12" s="144"/>
      <x:c r="T12" s="144"/>
      <x:c r="U12" s="144"/>
      <x:c r="V12" s="144"/>
      <x:c r="W12" s="144"/>
      <x:c r="X12" s="2"/>
      <x:c r="Y12" s="144"/>
      <x:c r="Z12" s="144"/>
      <x:c r="AA12" s="144"/>
      <x:c r="AB12" s="144"/>
      <x:c r="AC12" s="144"/>
      <x:c r="AD12" s="144"/>
      <x:c r="AE12" s="144"/>
      <x:c r="AF12" s="2"/>
      <x:c r="AG12" s="144"/>
      <x:c r="AH12" s="144"/>
      <x:c r="AI12" s="144"/>
      <x:c r="AJ12" s="144"/>
      <x:c r="AK12" s="144"/>
      <x:c r="AL12" s="144"/>
      <x:c r="AM12" s="144"/>
      <x:c r="AN12" s="2"/>
      <x:c r="AO12" s="144"/>
      <x:c r="AP12" s="144"/>
      <x:c r="AQ12" s="144"/>
      <x:c r="AR12" s="144"/>
      <x:c r="AS12" s="144"/>
      <x:c r="AT12" s="144"/>
      <x:c r="AU12" s="144"/>
      <x:c r="AV12" s="2"/>
      <x:c r="AW12" s="2"/>
      <x:c r="AX12" s="144"/>
      <x:c r="AY12" s="144"/>
      <x:c r="AZ12" s="144"/>
      <x:c r="BA12" s="144"/>
      <x:c r="BB12" s="144"/>
      <x:c r="BC12" s="144"/>
      <x:c r="BD12" s="144"/>
      <x:c r="BE12" s="144"/>
      <x:c r="BF12" s="2"/>
    </x:row>
    <x:row r="13" ht="13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</x:row>
    <x:row r="14" ht="13.5" customHeight="1">
      <x:c r="A14" s="2"/>
      <x:c r="B14" s="2"/>
      <x:c r="C14" s="2"/>
      <x:c r="D14" s="148" t="str">
        <x:v>1. 申請内容入力・提出</x:v>
      </x:c>
      <x:c r="E14" s="148"/>
      <x:c r="F14" s="148"/>
      <x:c r="G14" s="148"/>
      <x:c r="H14" s="148"/>
      <x:c r="I14" s="148"/>
      <x:c r="J14" s="148"/>
      <x:c r="K14" s="148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</x:row>
    <x:row r="15" ht="13.5" customHeight="1">
      <x:c r="A15" s="2"/>
      <x:c r="B15" s="2"/>
      <x:c r="C15" s="2"/>
      <x:c r="D15" s="148"/>
      <x:c r="E15" s="148"/>
      <x:c r="F15" s="148"/>
      <x:c r="G15" s="148"/>
      <x:c r="H15" s="148"/>
      <x:c r="I15" s="148"/>
      <x:c r="J15" s="148"/>
      <x:c r="K15" s="148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</x:row>
    <x:row r="16" ht="13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</x:row>
    <x:row r="17" ht="13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</x:row>
    <x:row r="18" ht="13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148" t="str">
        <x:v>2. POST /v1/expense-claims
Idempotency-Key: UUID</x:v>
      </x:c>
      <x:c r="L18" s="148"/>
      <x:c r="M18" s="148"/>
      <x:c r="N18" s="148"/>
      <x:c r="O18" s="148"/>
      <x:c r="P18" s="148"/>
      <x:c r="Q18" s="148"/>
      <x:c r="R18" s="148"/>
      <x:c r="S18" s="148"/>
      <x:c r="T18" s="148"/>
      <x:c r="U18" s="148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</x:row>
    <x:row r="19" ht="13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148"/>
      <x:c r="L19" s="148"/>
      <x:c r="M19" s="148"/>
      <x:c r="N19" s="148"/>
      <x:c r="O19" s="148"/>
      <x:c r="P19" s="148"/>
      <x:c r="Q19" s="148"/>
      <x:c r="R19" s="148"/>
      <x:c r="S19" s="148"/>
      <x:c r="T19" s="148"/>
      <x:c r="U19" s="148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</x:row>
    <x:row r="20" ht="13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</x:row>
    <x:row r="21" ht="13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</x:row>
    <x:row r="22" ht="13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</x:row>
    <x:row r="23" ht="13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477" t="str">
        <x:v>3. JWT・入力・
権限・冪等性</x:v>
      </x:c>
      <x:c r="V23" s="477"/>
      <x:c r="W23" s="477"/>
      <x:c r="X23" s="477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</x:row>
    <x:row r="24" ht="13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477"/>
      <x:c r="V24" s="477"/>
      <x:c r="W24" s="477"/>
      <x:c r="X24" s="477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</x:row>
    <x:row r="25" ht="13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477"/>
      <x:c r="V25" s="477"/>
      <x:c r="W25" s="477"/>
      <x:c r="X25" s="477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</x:row>
    <x:row r="26" ht="13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477"/>
      <x:c r="V26" s="477"/>
      <x:c r="W26" s="477"/>
      <x:c r="X26" s="477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</x:row>
    <x:row r="27" ht="13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</x:row>
    <x:row r="28" ht="13.5" customHeight="1">
      <x:c r="A28" s="2"/>
      <x:c r="B28" s="2"/>
      <x:c r="C28" s="2"/>
      <x:c r="D28" s="2"/>
      <x:c r="E28" s="2"/>
      <x:c r="F28" s="2"/>
      <x:c r="G28" s="481" t="str">
        <x:v>break</x:v>
      </x:c>
      <x:c r="H28" s="481"/>
      <x:c r="I28" s="481"/>
      <x:c r="J28" s="481"/>
      <x:c r="K28" s="2"/>
      <x:c r="L28" s="2"/>
      <x:c r="M28" s="2"/>
      <x:c r="N28" s="485" t="str">
        <x:v>[validation NG]</x:v>
      </x:c>
      <x:c r="O28" s="485"/>
      <x:c r="P28" s="485"/>
      <x:c r="Q28" s="485"/>
      <x:c r="R28" s="485"/>
      <x:c r="S28" s="485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</x:row>
    <x:row r="29" ht="13.5" customHeight="1">
      <x:c r="A29" s="2"/>
      <x:c r="B29" s="2"/>
      <x:c r="C29" s="2"/>
      <x:c r="D29" s="2"/>
      <x:c r="E29" s="2"/>
      <x:c r="F29" s="2"/>
      <x:c r="G29" s="481"/>
      <x:c r="H29" s="481"/>
      <x:c r="I29" s="481"/>
      <x:c r="J29" s="481"/>
      <x:c r="K29" s="2"/>
      <x:c r="L29" s="2"/>
      <x:c r="M29" s="2"/>
      <x:c r="N29" s="485"/>
      <x:c r="O29" s="485"/>
      <x:c r="P29" s="485"/>
      <x:c r="Q29" s="485"/>
      <x:c r="R29" s="485"/>
      <x:c r="S29" s="485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</x:row>
    <x:row r="30" ht="13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405" t="str">
        <x:v>4a. 400/401/409
ProblemDetails</x:v>
      </x:c>
      <x:c r="N30" s="405"/>
      <x:c r="O30" s="405"/>
      <x:c r="P30" s="405"/>
      <x:c r="Q30" s="405"/>
      <x:c r="R30" s="405"/>
      <x:c r="S30" s="405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</x:row>
    <x:row r="31" ht="13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405"/>
      <x:c r="N31" s="405"/>
      <x:c r="O31" s="405"/>
      <x:c r="P31" s="405"/>
      <x:c r="Q31" s="405"/>
      <x:c r="R31" s="405"/>
      <x:c r="S31" s="405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</x:row>
    <x:row r="32" ht="13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</x:row>
    <x:row r="33" ht="13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</x:row>
    <x:row r="34" ht="13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</x:row>
    <x:row r="35" ht="13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411" t="str">
        <x:v>4b. BEGIN TX-01</x:v>
      </x:c>
      <x:c r="U35" s="411"/>
      <x:c r="V35" s="411"/>
      <x:c r="W35" s="411"/>
      <x:c r="X35" s="411"/>
      <x:c r="Y35" s="411"/>
      <x:c r="Z35" s="411"/>
      <x:c r="AA35" s="411"/>
      <x:c r="AB35" s="411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</x:row>
    <x:row r="36" ht="13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411"/>
      <x:c r="U36" s="411"/>
      <x:c r="V36" s="411"/>
      <x:c r="W36" s="411"/>
      <x:c r="X36" s="411"/>
      <x:c r="Y36" s="411"/>
      <x:c r="Z36" s="411"/>
      <x:c r="AA36" s="411"/>
      <x:c r="AB36" s="411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</x:row>
    <x:row r="37" ht="13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</x:row>
    <x:row r="38" ht="13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411" t="str">
        <x:v>5. INSERT expense_claim
(status=SUBMITTED)</x:v>
      </x:c>
      <x:c r="T38" s="411"/>
      <x:c r="U38" s="411"/>
      <x:c r="V38" s="411"/>
      <x:c r="W38" s="411"/>
      <x:c r="X38" s="411"/>
      <x:c r="Y38" s="411"/>
      <x:c r="Z38" s="411"/>
      <x:c r="AA38" s="411"/>
      <x:c r="AB38" s="411"/>
      <x:c r="AC38" s="411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</x:row>
    <x:row r="39" ht="13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411"/>
      <x:c r="T39" s="411"/>
      <x:c r="U39" s="411"/>
      <x:c r="V39" s="411"/>
      <x:c r="W39" s="411"/>
      <x:c r="X39" s="411"/>
      <x:c r="Y39" s="411"/>
      <x:c r="Z39" s="411"/>
      <x:c r="AA39" s="411"/>
      <x:c r="AB39" s="411"/>
      <x:c r="AC39" s="411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</x:row>
    <x:row r="40" ht="13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</x:row>
    <x:row r="41" ht="13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411" t="str">
        <x:v>6. INSERT outbox_event</x:v>
      </x:c>
      <x:c r="T41" s="411"/>
      <x:c r="U41" s="411"/>
      <x:c r="V41" s="411"/>
      <x:c r="W41" s="411"/>
      <x:c r="X41" s="411"/>
      <x:c r="Y41" s="411"/>
      <x:c r="Z41" s="411"/>
      <x:c r="AA41" s="411"/>
      <x:c r="AB41" s="411"/>
      <x:c r="AC41" s="411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</x:row>
    <x:row r="42" ht="13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411"/>
      <x:c r="T42" s="411"/>
      <x:c r="U42" s="411"/>
      <x:c r="V42" s="411"/>
      <x:c r="W42" s="411"/>
      <x:c r="X42" s="411"/>
      <x:c r="Y42" s="411"/>
      <x:c r="Z42" s="411"/>
      <x:c r="AA42" s="411"/>
      <x:c r="AB42" s="411"/>
      <x:c r="AC42" s="411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</x:row>
    <x:row r="43" ht="13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</x:row>
    <x:row r="44" ht="13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411" t="str">
        <x:v>7. COMMIT</x:v>
      </x:c>
      <x:c r="V44" s="411"/>
      <x:c r="W44" s="411"/>
      <x:c r="X44" s="411"/>
      <x:c r="Y44" s="411"/>
      <x:c r="Z44" s="411"/>
      <x:c r="AA44" s="411"/>
      <x:c r="AB44" s="411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</x:row>
    <x:row r="45" ht="13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411"/>
      <x:c r="V45" s="411"/>
      <x:c r="W45" s="411"/>
      <x:c r="X45" s="411"/>
      <x:c r="Y45" s="411"/>
      <x:c r="Z45" s="411"/>
      <x:c r="AA45" s="411"/>
      <x:c r="AB45" s="411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</x:row>
    <x:row r="46" ht="13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</x:row>
    <x:row r="47" ht="13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164" t="str">
        <x:v>8. claim_id / version</x:v>
      </x:c>
      <x:c r="V47" s="164"/>
      <x:c r="W47" s="164"/>
      <x:c r="X47" s="164"/>
      <x:c r="Y47" s="164"/>
      <x:c r="Z47" s="164"/>
      <x:c r="AA47" s="164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</x:row>
    <x:row r="48" ht="13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164"/>
      <x:c r="V48" s="164"/>
      <x:c r="W48" s="164"/>
      <x:c r="X48" s="164"/>
      <x:c r="Y48" s="164"/>
      <x:c r="Z48" s="164"/>
      <x:c r="AA48" s="164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</x:row>
    <x:row r="49" ht="13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</x:row>
    <x:row r="50" ht="13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164" t="str">
        <x:v>9. 201 {claimId, status}</x:v>
      </x:c>
      <x:c r="N50" s="164"/>
      <x:c r="O50" s="164"/>
      <x:c r="P50" s="164"/>
      <x:c r="Q50" s="164"/>
      <x:c r="R50" s="164"/>
      <x:c r="S50" s="164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</x:row>
    <x:row r="51" ht="13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164"/>
      <x:c r="N51" s="164"/>
      <x:c r="O51" s="164"/>
      <x:c r="P51" s="164"/>
      <x:c r="Q51" s="164"/>
      <x:c r="R51" s="164"/>
      <x:c r="S51" s="164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</x:row>
    <x:row r="52" ht="13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</x:row>
    <x:row r="53" ht="13.5" customHeight="1">
      <x:c r="A53" s="2"/>
      <x:c r="B53" s="2"/>
      <x:c r="C53" s="2"/>
      <x:c r="D53" s="164" t="str">
        <x:v>10. 受付番号を表示</x:v>
      </x:c>
      <x:c r="E53" s="164"/>
      <x:c r="F53" s="164"/>
      <x:c r="G53" s="164"/>
      <x:c r="H53" s="164"/>
      <x:c r="I53" s="164"/>
      <x:c r="J53" s="164"/>
      <x:c r="K53" s="164"/>
      <x:c r="L53" s="164"/>
      <x:c r="M53" s="164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</x:row>
    <x:row r="54" ht="13.5" customHeight="1">
      <x:c r="A54" s="2"/>
      <x:c r="B54" s="2"/>
      <x:c r="C54" s="2"/>
      <x:c r="D54" s="164"/>
      <x:c r="E54" s="164"/>
      <x:c r="F54" s="164"/>
      <x:c r="G54" s="164"/>
      <x:c r="H54" s="164"/>
      <x:c r="I54" s="164"/>
      <x:c r="J54" s="164"/>
      <x:c r="K54" s="164"/>
      <x:c r="L54" s="164"/>
      <x:c r="M54" s="164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</x:row>
    <x:row r="55" ht="13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</x:row>
    <x:row r="56" ht="13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</x:row>
    <x:row r="57" ht="13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148" t="str">
        <x:v>11. poll unsent event
FOR UPDATE SKIP LOCKED</x:v>
      </x:c>
      <x:c r="AC57" s="148"/>
      <x:c r="AD57" s="148"/>
      <x:c r="AE57" s="148"/>
      <x:c r="AF57" s="148"/>
      <x:c r="AG57" s="148"/>
      <x:c r="AH57" s="148"/>
      <x:c r="AI57" s="148"/>
      <x:c r="AJ57" s="148"/>
      <x:c r="AK57" s="148"/>
      <x:c r="AL57" s="148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</x:row>
    <x:row r="58" ht="13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148"/>
      <x:c r="AC58" s="148"/>
      <x:c r="AD58" s="148"/>
      <x:c r="AE58" s="148"/>
      <x:c r="AF58" s="148"/>
      <x:c r="AG58" s="148"/>
      <x:c r="AH58" s="148"/>
      <x:c r="AI58" s="148"/>
      <x:c r="AJ58" s="148"/>
      <x:c r="AK58" s="148"/>
      <x:c r="AL58" s="148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</x:row>
    <x:row r="59" ht="13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</x:row>
    <x:row r="60" ht="13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</x:row>
    <x:row r="61" ht="13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164" t="str">
        <x:v>12. approval.requested payload</x:v>
      </x:c>
      <x:c r="AD61" s="164"/>
      <x:c r="AE61" s="164"/>
      <x:c r="AF61" s="164"/>
      <x:c r="AG61" s="164"/>
      <x:c r="AH61" s="164"/>
      <x:c r="AI61" s="164"/>
      <x:c r="AJ61" s="164"/>
      <x:c r="AK61" s="164"/>
      <x:c r="AL61" s="164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</x:row>
    <x:row r="62" ht="13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164"/>
      <x:c r="AD62" s="164"/>
      <x:c r="AE62" s="164"/>
      <x:c r="AF62" s="164"/>
      <x:c r="AG62" s="164"/>
      <x:c r="AH62" s="164"/>
      <x:c r="AI62" s="164"/>
      <x:c r="AJ62" s="164"/>
      <x:c r="AK62" s="164"/>
      <x:c r="AL62" s="164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</x:row>
    <x:row r="63" ht="13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</x:row>
    <x:row r="64" ht="13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</x:row>
    <x:row r="65" ht="13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152" t="str">
        <x:v>13. publish(event_id, claim_id)</x:v>
      </x:c>
      <x:c r="AK65" s="152"/>
      <x:c r="AL65" s="152"/>
      <x:c r="AM65" s="152"/>
      <x:c r="AN65" s="152"/>
      <x:c r="AO65" s="152"/>
      <x:c r="AP65" s="152"/>
      <x:c r="AQ65" s="152"/>
      <x:c r="AR65" s="152"/>
      <x:c r="AS65" s="15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</x:row>
    <x:row r="66" ht="13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152"/>
      <x:c r="AK66" s="152"/>
      <x:c r="AL66" s="152"/>
      <x:c r="AM66" s="152"/>
      <x:c r="AN66" s="152"/>
      <x:c r="AO66" s="152"/>
      <x:c r="AP66" s="152"/>
      <x:c r="AQ66" s="152"/>
      <x:c r="AR66" s="152"/>
      <x:c r="AS66" s="15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</x:row>
    <x:row r="67" ht="13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</x:row>
    <x:row r="68" ht="13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164" t="str">
        <x:v>14. publisher confirm</x:v>
      </x:c>
      <x:c r="AK68" s="164"/>
      <x:c r="AL68" s="164"/>
      <x:c r="AM68" s="164"/>
      <x:c r="AN68" s="164"/>
      <x:c r="AO68" s="164"/>
      <x:c r="AP68" s="164"/>
      <x:c r="AQ68" s="164"/>
      <x:c r="AR68" s="164"/>
      <x:c r="AS68" s="164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</x:row>
    <x:row r="69" ht="13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164"/>
      <x:c r="AK69" s="164"/>
      <x:c r="AL69" s="164"/>
      <x:c r="AM69" s="164"/>
      <x:c r="AN69" s="164"/>
      <x:c r="AO69" s="164"/>
      <x:c r="AP69" s="164"/>
      <x:c r="AQ69" s="164"/>
      <x:c r="AR69" s="164"/>
      <x:c r="AS69" s="164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</x:row>
    <x:row r="70" ht="13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</x:row>
    <x:row r="71" ht="13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</x:row>
    <x:row r="72" ht="13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152" t="str">
        <x:v>15. approval.requested
(at-least-once)</x:v>
      </x:c>
      <x:c r="AS72" s="152"/>
      <x:c r="AT72" s="152"/>
      <x:c r="AU72" s="152"/>
      <x:c r="AV72" s="152"/>
      <x:c r="AW72" s="152"/>
      <x:c r="AX72" s="152"/>
      <x:c r="AY72" s="152"/>
      <x:c r="AZ72" s="152"/>
      <x:c r="BA72" s="152"/>
      <x:c r="BB72" s="152"/>
      <x:c r="BC72" s="2"/>
      <x:c r="BD72" s="2"/>
      <x:c r="BE72" s="2"/>
      <x:c r="BF72" s="2"/>
    </x:row>
    <x:row r="73" ht="13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152"/>
      <x:c r="AS73" s="152"/>
      <x:c r="AT73" s="152"/>
      <x:c r="AU73" s="152"/>
      <x:c r="AV73" s="152"/>
      <x:c r="AW73" s="152"/>
      <x:c r="AX73" s="152"/>
      <x:c r="AY73" s="152"/>
      <x:c r="AZ73" s="152"/>
      <x:c r="BA73" s="152"/>
      <x:c r="BB73" s="152"/>
      <x:c r="BC73" s="2"/>
      <x:c r="BD73" s="2"/>
      <x:c r="BE73" s="2"/>
      <x:c r="BF73" s="2"/>
    </x:row>
    <x:row r="74" ht="13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</x:row>
    <x:row r="75" ht="13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</x:row>
    <x:row r="76" ht="13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</x:row>
    <x:row r="77" ht="13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488" t="str">
        <x:v>alt</x:v>
      </x:c>
      <x:c r="AO77" s="488"/>
      <x:c r="AP77" s="488"/>
      <x:c r="AQ77" s="488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</x:row>
    <x:row r="78" ht="13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488"/>
      <x:c r="AO78" s="488"/>
      <x:c r="AP78" s="488"/>
      <x:c r="AQ78" s="488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</x:row>
    <x:row r="79" ht="13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492" t="str">
        <x:v>[amount &lt;= 100,000]</x:v>
      </x:c>
      <x:c r="AO79" s="492"/>
      <x:c r="AP79" s="492"/>
      <x:c r="AQ79" s="492"/>
      <x:c r="AR79" s="492"/>
      <x:c r="AS79" s="492"/>
      <x:c r="AT79" s="521" t="str">
        <x:v>課長承認
TASK-MGR</x:v>
      </x:c>
      <x:c r="AU79" s="522"/>
      <x:c r="AV79" s="522"/>
      <x:c r="AW79" s="522"/>
      <x:c r="AX79" s="522"/>
      <x:c r="AY79" s="523"/>
      <x:c r="AZ79" s="2"/>
      <x:c r="BA79" s="2"/>
      <x:c r="BB79" s="2"/>
      <x:c r="BC79" s="2"/>
      <x:c r="BD79" s="2"/>
      <x:c r="BE79" s="2"/>
      <x:c r="BF79" s="2"/>
    </x:row>
    <x:row r="80" ht="13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492"/>
      <x:c r="AO80" s="492"/>
      <x:c r="AP80" s="492"/>
      <x:c r="AQ80" s="492"/>
      <x:c r="AR80" s="492"/>
      <x:c r="AS80" s="492"/>
      <x:c r="AT80" s="524"/>
      <x:c r="AU80" s="525"/>
      <x:c r="AV80" s="525"/>
      <x:c r="AW80" s="525"/>
      <x:c r="AX80" s="525"/>
      <x:c r="AY80" s="526"/>
      <x:c r="AZ80" s="2"/>
      <x:c r="BA80" s="2"/>
      <x:c r="BB80" s="2"/>
      <x:c r="BC80" s="2"/>
      <x:c r="BD80" s="2"/>
      <x:c r="BE80" s="2"/>
      <x:c r="BF80" s="2"/>
    </x:row>
    <x:row r="81" ht="13.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527"/>
      <x:c r="AU81" s="528"/>
      <x:c r="AV81" s="528"/>
      <x:c r="AW81" s="528"/>
      <x:c r="AX81" s="528"/>
      <x:c r="AY81" s="529"/>
      <x:c r="AZ81" s="2"/>
      <x:c r="BA81" s="2"/>
      <x:c r="BB81" s="2"/>
      <x:c r="BC81" s="2"/>
      <x:c r="BD81" s="2"/>
      <x:c r="BE81" s="2"/>
      <x:c r="BF81" s="2"/>
    </x:row>
    <x:row r="82" ht="13.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</x:row>
    <x:row r="83" ht="13.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533" t="str">
        <x:v>[amount &gt; 100,000]</x:v>
      </x:c>
      <x:c r="AO83" s="533"/>
      <x:c r="AP83" s="533"/>
      <x:c r="AQ83" s="533"/>
      <x:c r="AR83" s="533"/>
      <x:c r="AS83" s="533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</x:row>
    <x:row r="84" ht="13.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533"/>
      <x:c r="AO84" s="533"/>
      <x:c r="AP84" s="533"/>
      <x:c r="AQ84" s="533"/>
      <x:c r="AR84" s="533"/>
      <x:c r="AS84" s="533"/>
      <x:c r="AT84" s="561" t="str">
        <x:v>部長承認
TASK-DIR</x:v>
      </x:c>
      <x:c r="AU84" s="562"/>
      <x:c r="AV84" s="562"/>
      <x:c r="AW84" s="562"/>
      <x:c r="AX84" s="562"/>
      <x:c r="AY84" s="563"/>
      <x:c r="AZ84" s="2"/>
      <x:c r="BA84" s="2"/>
      <x:c r="BB84" s="2"/>
      <x:c r="BC84" s="2"/>
      <x:c r="BD84" s="2"/>
      <x:c r="BE84" s="2"/>
      <x:c r="BF84" s="2"/>
    </x:row>
    <x:row r="85" ht="13.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564"/>
      <x:c r="AU85" s="565"/>
      <x:c r="AV85" s="565"/>
      <x:c r="AW85" s="565"/>
      <x:c r="AX85" s="565"/>
      <x:c r="AY85" s="566"/>
      <x:c r="AZ85" s="2"/>
      <x:c r="BA85" s="2"/>
      <x:c r="BB85" s="2"/>
      <x:c r="BC85" s="2"/>
      <x:c r="BD85" s="2"/>
      <x:c r="BE85" s="2"/>
      <x:c r="BF85" s="2"/>
    </x:row>
    <x:row r="86" ht="13.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564"/>
      <x:c r="AU86" s="565"/>
      <x:c r="AV86" s="565"/>
      <x:c r="AW86" s="565"/>
      <x:c r="AX86" s="565"/>
      <x:c r="AY86" s="566"/>
      <x:c r="AZ86" s="2"/>
      <x:c r="BA86" s="2"/>
      <x:c r="BB86" s="2"/>
      <x:c r="BC86" s="2"/>
      <x:c r="BD86" s="2"/>
      <x:c r="BE86" s="2"/>
      <x:c r="BF86" s="2"/>
    </x:row>
    <x:row r="87" ht="13.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567"/>
      <x:c r="AU87" s="568"/>
      <x:c r="AV87" s="568"/>
      <x:c r="AW87" s="568"/>
      <x:c r="AX87" s="568"/>
      <x:c r="AY87" s="569"/>
      <x:c r="AZ87" s="2"/>
      <x:c r="BA87" s="2"/>
      <x:c r="BB87" s="2"/>
      <x:c r="BC87" s="2"/>
      <x:c r="BD87" s="2"/>
      <x:c r="BE87" s="2"/>
      <x:c r="BF87" s="2"/>
    </x:row>
    <x:row r="88" ht="13.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160" t="str">
        <x:v>16. INSERT approval_task + UPDATE status=PENDING</x:v>
      </x:c>
      <x:c r="AE88" s="160"/>
      <x:c r="AF88" s="160"/>
      <x:c r="AG88" s="160"/>
      <x:c r="AH88" s="160"/>
      <x:c r="AI88" s="160"/>
      <x:c r="AJ88" s="160"/>
      <x:c r="AK88" s="160"/>
      <x:c r="AL88" s="160"/>
      <x:c r="AM88" s="160"/>
      <x:c r="AN88" s="160"/>
      <x:c r="AO88" s="160"/>
      <x:c r="AP88" s="160"/>
      <x:c r="AQ88" s="160"/>
      <x:c r="AR88" s="160"/>
      <x:c r="AS88" s="160"/>
      <x:c r="AT88" s="160"/>
      <x:c r="AU88" s="160"/>
      <x:c r="AV88" s="160"/>
      <x:c r="AW88" s="160"/>
      <x:c r="AX88" s="160"/>
      <x:c r="AY88" s="160"/>
      <x:c r="AZ88" s="2"/>
      <x:c r="BA88" s="2"/>
      <x:c r="BB88" s="2"/>
      <x:c r="BC88" s="2"/>
      <x:c r="BD88" s="2"/>
      <x:c r="BE88" s="2"/>
      <x:c r="BF88" s="2"/>
    </x:row>
    <x:row r="89" ht="13.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160"/>
      <x:c r="AE89" s="160"/>
      <x:c r="AF89" s="160"/>
      <x:c r="AG89" s="160"/>
      <x:c r="AH89" s="160"/>
      <x:c r="AI89" s="160"/>
      <x:c r="AJ89" s="160"/>
      <x:c r="AK89" s="160"/>
      <x:c r="AL89" s="160"/>
      <x:c r="AM89" s="160"/>
      <x:c r="AN89" s="160"/>
      <x:c r="AO89" s="160"/>
      <x:c r="AP89" s="160"/>
      <x:c r="AQ89" s="160"/>
      <x:c r="AR89" s="160"/>
      <x:c r="AS89" s="160"/>
      <x:c r="AT89" s="160"/>
      <x:c r="AU89" s="160"/>
      <x:c r="AV89" s="160"/>
      <x:c r="AW89" s="160"/>
      <x:c r="AX89" s="160"/>
      <x:c r="AY89" s="160"/>
      <x:c r="AZ89" s="2"/>
      <x:c r="BA89" s="2"/>
      <x:c r="BB89" s="2"/>
      <x:c r="BC89" s="2"/>
      <x:c r="BD89" s="2"/>
      <x:c r="BE89" s="2"/>
      <x:c r="BF89" s="2"/>
    </x:row>
    <x:row r="90" ht="13.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</x:row>
    <x:row r="91" ht="13.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</x:row>
    <x:row r="92" ht="13.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164" t="str">
        <x:v>17. task_id / version（重複event_idは既存結果）</x:v>
      </x:c>
      <x:c r="AG92" s="164"/>
      <x:c r="AH92" s="164"/>
      <x:c r="AI92" s="164"/>
      <x:c r="AJ92" s="164"/>
      <x:c r="AK92" s="164"/>
      <x:c r="AL92" s="164"/>
      <x:c r="AM92" s="164"/>
      <x:c r="AN92" s="164"/>
      <x:c r="AO92" s="164"/>
      <x:c r="AP92" s="164"/>
      <x:c r="AQ92" s="164"/>
      <x:c r="AR92" s="164"/>
      <x:c r="AS92" s="164"/>
      <x:c r="AT92" s="164"/>
      <x:c r="AU92" s="164"/>
      <x:c r="AV92" s="164"/>
      <x:c r="AW92" s="164"/>
      <x:c r="AX92" s="164"/>
      <x:c r="AY92" s="2"/>
      <x:c r="AZ92" s="2"/>
      <x:c r="BA92" s="2"/>
      <x:c r="BB92" s="2"/>
      <x:c r="BC92" s="2"/>
      <x:c r="BD92" s="2"/>
      <x:c r="BE92" s="2"/>
      <x:c r="BF92" s="2"/>
    </x:row>
    <x:row r="93" ht="13.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164"/>
      <x:c r="AG93" s="164"/>
      <x:c r="AH93" s="164"/>
      <x:c r="AI93" s="164"/>
      <x:c r="AJ93" s="164"/>
      <x:c r="AK93" s="164"/>
      <x:c r="AL93" s="164"/>
      <x:c r="AM93" s="164"/>
      <x:c r="AN93" s="164"/>
      <x:c r="AO93" s="164"/>
      <x:c r="AP93" s="164"/>
      <x:c r="AQ93" s="164"/>
      <x:c r="AR93" s="164"/>
      <x:c r="AS93" s="164"/>
      <x:c r="AT93" s="164"/>
      <x:c r="AU93" s="164"/>
      <x:c r="AV93" s="164"/>
      <x:c r="AW93" s="164"/>
      <x:c r="AX93" s="164"/>
      <x:c r="AY93" s="2"/>
      <x:c r="AZ93" s="2"/>
      <x:c r="BA93" s="2"/>
      <x:c r="BB93" s="2"/>
      <x:c r="BC93" s="2"/>
      <x:c r="BD93" s="2"/>
      <x:c r="BE93" s="2"/>
      <x:c r="BF93" s="2"/>
    </x:row>
    <x:row r="94" ht="13.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</x:row>
    <x:row r="95" ht="13.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</x:row>
    <x:row r="96" ht="13.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</x:row>
    <x:row r="97" ht="13.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</x:row>
    <x:row r="98" ht="13.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</x:row>
    <x:row r="99" ht="13.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</x:row>
    <x:row r="100" ht="13.5" customHeight="1">
      <x:c r="A100" s="2"/>
      <x:c r="B100" s="440" t="str">
        <x:v>設計注記：TX-01はexpense_claimとoutbox_eventを同一トランザクションで確定する。HTTP応答後のイベント配送は非同期で、Event Bus障害時はNFR-OPS-04の間隔で最大5回再送し、承認サービスはevent_idで冪等に処理する。</x:v>
      </x:c>
      <x:c r="C100" s="441"/>
      <x:c r="D100" s="441"/>
      <x:c r="E100" s="441"/>
      <x:c r="F100" s="441"/>
      <x:c r="G100" s="441"/>
      <x:c r="H100" s="441"/>
      <x:c r="I100" s="441"/>
      <x:c r="J100" s="441"/>
      <x:c r="K100" s="441"/>
      <x:c r="L100" s="441"/>
      <x:c r="M100" s="441"/>
      <x:c r="N100" s="441"/>
      <x:c r="O100" s="441"/>
      <x:c r="P100" s="441"/>
      <x:c r="Q100" s="441"/>
      <x:c r="R100" s="441"/>
      <x:c r="S100" s="441"/>
      <x:c r="T100" s="441"/>
      <x:c r="U100" s="441"/>
      <x:c r="V100" s="441"/>
      <x:c r="W100" s="441"/>
      <x:c r="X100" s="441"/>
      <x:c r="Y100" s="441"/>
      <x:c r="Z100" s="441"/>
      <x:c r="AA100" s="441"/>
      <x:c r="AB100" s="441"/>
      <x:c r="AC100" s="441"/>
      <x:c r="AD100" s="441"/>
      <x:c r="AE100" s="441"/>
      <x:c r="AF100" s="441"/>
      <x:c r="AG100" s="441"/>
      <x:c r="AH100" s="441"/>
      <x:c r="AI100" s="441"/>
      <x:c r="AJ100" s="441"/>
      <x:c r="AK100" s="441"/>
      <x:c r="AL100" s="441"/>
      <x:c r="AM100" s="441"/>
      <x:c r="AN100" s="441"/>
      <x:c r="AO100" s="441"/>
      <x:c r="AP100" s="441"/>
      <x:c r="AQ100" s="441"/>
      <x:c r="AR100" s="441"/>
      <x:c r="AS100" s="441"/>
      <x:c r="AT100" s="441"/>
      <x:c r="AU100" s="441"/>
      <x:c r="AV100" s="441"/>
      <x:c r="AW100" s="441"/>
      <x:c r="AX100" s="441"/>
      <x:c r="AY100" s="441"/>
      <x:c r="AZ100" s="441"/>
      <x:c r="BA100" s="441"/>
      <x:c r="BB100" s="441"/>
      <x:c r="BC100" s="441"/>
      <x:c r="BD100" s="442"/>
      <x:c r="BE100" s="2"/>
      <x:c r="BF100" s="2"/>
    </x:row>
    <x:row r="101" ht="13.5" customHeight="1">
      <x:c r="A101" s="2"/>
      <x:c r="B101" s="443"/>
      <x:c r="C101" s="444"/>
      <x:c r="D101" s="444"/>
      <x:c r="E101" s="444"/>
      <x:c r="F101" s="444"/>
      <x:c r="G101" s="444"/>
      <x:c r="H101" s="444"/>
      <x:c r="I101" s="444"/>
      <x:c r="J101" s="444"/>
      <x:c r="K101" s="444"/>
      <x:c r="L101" s="444"/>
      <x:c r="M101" s="444"/>
      <x:c r="N101" s="444"/>
      <x:c r="O101" s="444"/>
      <x:c r="P101" s="444"/>
      <x:c r="Q101" s="444"/>
      <x:c r="R101" s="444"/>
      <x:c r="S101" s="444"/>
      <x:c r="T101" s="444"/>
      <x:c r="U101" s="444"/>
      <x:c r="V101" s="444"/>
      <x:c r="W101" s="444"/>
      <x:c r="X101" s="444"/>
      <x:c r="Y101" s="444"/>
      <x:c r="Z101" s="444"/>
      <x:c r="AA101" s="444"/>
      <x:c r="AB101" s="444"/>
      <x:c r="AC101" s="444"/>
      <x:c r="AD101" s="444"/>
      <x:c r="AE101" s="444"/>
      <x:c r="AF101" s="444"/>
      <x:c r="AG101" s="444"/>
      <x:c r="AH101" s="444"/>
      <x:c r="AI101" s="444"/>
      <x:c r="AJ101" s="444"/>
      <x:c r="AK101" s="444"/>
      <x:c r="AL101" s="444"/>
      <x:c r="AM101" s="444"/>
      <x:c r="AN101" s="444"/>
      <x:c r="AO101" s="444"/>
      <x:c r="AP101" s="444"/>
      <x:c r="AQ101" s="444"/>
      <x:c r="AR101" s="444"/>
      <x:c r="AS101" s="444"/>
      <x:c r="AT101" s="444"/>
      <x:c r="AU101" s="444"/>
      <x:c r="AV101" s="444"/>
      <x:c r="AW101" s="444"/>
      <x:c r="AX101" s="444"/>
      <x:c r="AY101" s="444"/>
      <x:c r="AZ101" s="444"/>
      <x:c r="BA101" s="444"/>
      <x:c r="BB101" s="444"/>
      <x:c r="BC101" s="444"/>
      <x:c r="BD101" s="445"/>
      <x:c r="BE101" s="2"/>
      <x:c r="BF101" s="2"/>
    </x:row>
    <x:row r="102" ht="13.5" customHeight="1">
      <x:c r="A102" s="2"/>
      <x:c r="B102" s="443"/>
      <x:c r="C102" s="444"/>
      <x:c r="D102" s="444"/>
      <x:c r="E102" s="444"/>
      <x:c r="F102" s="444"/>
      <x:c r="G102" s="444"/>
      <x:c r="H102" s="444"/>
      <x:c r="I102" s="444"/>
      <x:c r="J102" s="444"/>
      <x:c r="K102" s="444"/>
      <x:c r="L102" s="444"/>
      <x:c r="M102" s="444"/>
      <x:c r="N102" s="444"/>
      <x:c r="O102" s="444"/>
      <x:c r="P102" s="444"/>
      <x:c r="Q102" s="444"/>
      <x:c r="R102" s="444"/>
      <x:c r="S102" s="444"/>
      <x:c r="T102" s="444"/>
      <x:c r="U102" s="444"/>
      <x:c r="V102" s="444"/>
      <x:c r="W102" s="444"/>
      <x:c r="X102" s="444"/>
      <x:c r="Y102" s="444"/>
      <x:c r="Z102" s="444"/>
      <x:c r="AA102" s="444"/>
      <x:c r="AB102" s="444"/>
      <x:c r="AC102" s="444"/>
      <x:c r="AD102" s="444"/>
      <x:c r="AE102" s="444"/>
      <x:c r="AF102" s="444"/>
      <x:c r="AG102" s="444"/>
      <x:c r="AH102" s="444"/>
      <x:c r="AI102" s="444"/>
      <x:c r="AJ102" s="444"/>
      <x:c r="AK102" s="444"/>
      <x:c r="AL102" s="444"/>
      <x:c r="AM102" s="444"/>
      <x:c r="AN102" s="444"/>
      <x:c r="AO102" s="444"/>
      <x:c r="AP102" s="444"/>
      <x:c r="AQ102" s="444"/>
      <x:c r="AR102" s="444"/>
      <x:c r="AS102" s="444"/>
      <x:c r="AT102" s="444"/>
      <x:c r="AU102" s="444"/>
      <x:c r="AV102" s="444"/>
      <x:c r="AW102" s="444"/>
      <x:c r="AX102" s="444"/>
      <x:c r="AY102" s="444"/>
      <x:c r="AZ102" s="444"/>
      <x:c r="BA102" s="444"/>
      <x:c r="BB102" s="444"/>
      <x:c r="BC102" s="444"/>
      <x:c r="BD102" s="445"/>
      <x:c r="BE102" s="2"/>
      <x:c r="BF102" s="2"/>
    </x:row>
    <x:row r="103" ht="13.5" customHeight="1">
      <x:c r="A103" s="2"/>
      <x:c r="B103" s="446"/>
      <x:c r="C103" s="447"/>
      <x:c r="D103" s="447"/>
      <x:c r="E103" s="447"/>
      <x:c r="F103" s="447"/>
      <x:c r="G103" s="447"/>
      <x:c r="H103" s="447"/>
      <x:c r="I103" s="447"/>
      <x:c r="J103" s="447"/>
      <x:c r="K103" s="447"/>
      <x:c r="L103" s="447"/>
      <x:c r="M103" s="447"/>
      <x:c r="N103" s="447"/>
      <x:c r="O103" s="447"/>
      <x:c r="P103" s="447"/>
      <x:c r="Q103" s="447"/>
      <x:c r="R103" s="447"/>
      <x:c r="S103" s="447"/>
      <x:c r="T103" s="447"/>
      <x:c r="U103" s="447"/>
      <x:c r="V103" s="447"/>
      <x:c r="W103" s="447"/>
      <x:c r="X103" s="447"/>
      <x:c r="Y103" s="447"/>
      <x:c r="Z103" s="447"/>
      <x:c r="AA103" s="447"/>
      <x:c r="AB103" s="447"/>
      <x:c r="AC103" s="447"/>
      <x:c r="AD103" s="447"/>
      <x:c r="AE103" s="447"/>
      <x:c r="AF103" s="447"/>
      <x:c r="AG103" s="447"/>
      <x:c r="AH103" s="447"/>
      <x:c r="AI103" s="447"/>
      <x:c r="AJ103" s="447"/>
      <x:c r="AK103" s="447"/>
      <x:c r="AL103" s="447"/>
      <x:c r="AM103" s="447"/>
      <x:c r="AN103" s="447"/>
      <x:c r="AO103" s="447"/>
      <x:c r="AP103" s="447"/>
      <x:c r="AQ103" s="447"/>
      <x:c r="AR103" s="447"/>
      <x:c r="AS103" s="447"/>
      <x:c r="AT103" s="447"/>
      <x:c r="AU103" s="447"/>
      <x:c r="AV103" s="447"/>
      <x:c r="AW103" s="447"/>
      <x:c r="AX103" s="447"/>
      <x:c r="AY103" s="447"/>
      <x:c r="AZ103" s="447"/>
      <x:c r="BA103" s="447"/>
      <x:c r="BB103" s="447"/>
      <x:c r="BC103" s="447"/>
      <x:c r="BD103" s="448"/>
      <x:c r="BE103" s="2"/>
      <x:c r="BF103" s="2"/>
    </x:row>
    <x:row r="104" ht="13.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</x:row>
    <x:row r="105" ht="13.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</x:row>
    <x:row r="106" ht="13.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</x:row>
  </x:sheetData>
  <x:mergeCells>
    <x:mergeCell ref="A1:BF2"/>
    <x:mergeCell ref="A3:BF3"/>
    <x:mergeCell ref="A4:L4"/>
    <x:mergeCell ref="M4:R4"/>
    <x:mergeCell ref="S4:AE4"/>
    <x:mergeCell ref="AF4:AQ4"/>
    <x:mergeCell ref="AR4:BF4"/>
    <x:mergeCell ref="B5:BD6"/>
    <x:mergeCell ref="A7:H8"/>
    <x:mergeCell ref="B9:G12"/>
    <x:mergeCell ref="I9:N12"/>
    <x:mergeCell ref="P9:W12"/>
    <x:mergeCell ref="Y9:AE12"/>
    <x:mergeCell ref="AG9:AM12"/>
    <x:mergeCell ref="AO9:AU12"/>
    <x:mergeCell ref="AX9:BE12"/>
    <x:mergeCell ref="D14:K15"/>
    <x:mergeCell ref="K18:U19"/>
    <x:mergeCell ref="U23:X26"/>
    <x:mergeCell ref="G28:J29"/>
    <x:mergeCell ref="N28:S29"/>
    <x:mergeCell ref="M30:S31"/>
    <x:mergeCell ref="T35:AB36"/>
    <x:mergeCell ref="S38:AC39"/>
    <x:mergeCell ref="S41:AC42"/>
    <x:mergeCell ref="U44:AB45"/>
    <x:mergeCell ref="U47:AA48"/>
    <x:mergeCell ref="M50:S51"/>
    <x:mergeCell ref="D53:M54"/>
    <x:mergeCell ref="AB57:AL58"/>
    <x:mergeCell ref="AC61:AL62"/>
    <x:mergeCell ref="AJ65:AS66"/>
    <x:mergeCell ref="AJ68:AS69"/>
    <x:mergeCell ref="AR72:BB73"/>
    <x:mergeCell ref="AN77:AQ78"/>
    <x:mergeCell ref="AN79:AS80"/>
    <x:mergeCell ref="AT79:AY81"/>
    <x:mergeCell ref="AN83:AS84"/>
    <x:mergeCell ref="AT84:AY87"/>
    <x:mergeCell ref="AD88:AY89"/>
    <x:mergeCell ref="AF92:AX93"/>
    <x:mergeCell ref="B100:BD103"/>
  </x:mergeCells>
  <x:pageMargins left="0.7" right="0.7" top="0.75" bottom="0.75" header="0.3" footer="0.3"/>
  <x:drawing xmlns:r="http://schemas.openxmlformats.org/officeDocument/2006/relationships" r:id="Rddb696566ce5413f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</x:cols>
  <x:sheetData>
    <x:row r="1" ht="13.5" customHeight="1">
      <x:c r="A1" s="131" t="str">
        <x:v>04 業務フロー（申請〜支払）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  <x:c r="N1" s="131"/>
      <x:c r="O1" s="131"/>
      <x:c r="P1" s="131"/>
      <x:c r="Q1" s="131"/>
      <x:c r="R1" s="131"/>
      <x:c r="S1" s="131"/>
      <x:c r="T1" s="131"/>
      <x:c r="U1" s="131"/>
      <x:c r="V1" s="131"/>
      <x:c r="W1" s="131"/>
      <x:c r="X1" s="131"/>
      <x:c r="Y1" s="131"/>
      <x:c r="Z1" s="131"/>
      <x:c r="AA1" s="131"/>
      <x:c r="AB1" s="131"/>
      <x:c r="AC1" s="131"/>
      <x:c r="AD1" s="131"/>
      <x:c r="AE1" s="131"/>
      <x:c r="AF1" s="131"/>
      <x:c r="AG1" s="131"/>
      <x:c r="AH1" s="131"/>
      <x:c r="AI1" s="131"/>
      <x:c r="AJ1" s="131"/>
      <x:c r="AK1" s="131"/>
      <x:c r="AL1" s="131"/>
      <x:c r="AM1" s="131"/>
      <x:c r="AN1" s="131"/>
      <x:c r="AO1" s="131"/>
      <x:c r="AP1" s="131"/>
      <x:c r="AQ1" s="131"/>
      <x:c r="AR1" s="131"/>
      <x:c r="AS1" s="131"/>
      <x:c r="AT1" s="131"/>
      <x:c r="AU1" s="131"/>
      <x:c r="AV1" s="131"/>
      <x:c r="AW1" s="131"/>
      <x:c r="AX1" s="131"/>
      <x:c r="AY1" s="131"/>
      <x:c r="AZ1" s="131"/>
    </x:row>
    <x:row r="2" ht="13.5" customHeight="1">
      <x:c r="A2" s="131"/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  <x:c r="Q2" s="131"/>
      <x:c r="R2" s="131"/>
      <x:c r="S2" s="131"/>
      <x:c r="T2" s="131"/>
      <x:c r="U2" s="131"/>
      <x:c r="V2" s="131"/>
      <x:c r="W2" s="131"/>
      <x:c r="X2" s="131"/>
      <x:c r="Y2" s="131"/>
      <x:c r="Z2" s="131"/>
      <x:c r="AA2" s="131"/>
      <x:c r="AB2" s="131"/>
      <x:c r="AC2" s="131"/>
      <x:c r="AD2" s="131"/>
      <x:c r="AE2" s="131"/>
      <x:c r="AF2" s="131"/>
      <x:c r="AG2" s="131"/>
      <x:c r="AH2" s="131"/>
      <x:c r="AI2" s="131"/>
      <x:c r="AJ2" s="131"/>
      <x:c r="AK2" s="131"/>
      <x:c r="AL2" s="131"/>
      <x:c r="AM2" s="131"/>
      <x:c r="AN2" s="131"/>
      <x:c r="AO2" s="131"/>
      <x:c r="AP2" s="131"/>
      <x:c r="AQ2" s="131"/>
      <x:c r="AR2" s="131"/>
      <x:c r="AS2" s="131"/>
      <x:c r="AT2" s="131"/>
      <x:c r="AU2" s="131"/>
      <x:c r="AV2" s="131"/>
      <x:c r="AW2" s="131"/>
      <x:c r="AX2" s="131"/>
      <x:c r="AY2" s="131"/>
      <x:c r="AZ2" s="131"/>
    </x:row>
    <x:row r="3" ht="13.5" customHeight="1">
      <x:c r="A3" s="135" t="str">
        <x:v>BF-01。責任主体、判断条件、状態更新、再送・運用移管までをエンドツーエンドで示す。</x:v>
      </x:c>
      <x:c r="B3" s="135"/>
      <x:c r="C3" s="135"/>
      <x:c r="D3" s="135"/>
      <x:c r="E3" s="135"/>
      <x:c r="F3" s="135"/>
      <x:c r="G3" s="135"/>
      <x:c r="H3" s="135"/>
      <x:c r="I3" s="135"/>
      <x:c r="J3" s="135"/>
      <x:c r="K3" s="135"/>
      <x:c r="L3" s="135"/>
      <x:c r="M3" s="135"/>
      <x:c r="N3" s="135"/>
      <x:c r="O3" s="135"/>
      <x:c r="P3" s="135"/>
      <x:c r="Q3" s="135"/>
      <x:c r="R3" s="135"/>
      <x:c r="S3" s="135"/>
      <x:c r="T3" s="135"/>
      <x:c r="U3" s="135"/>
      <x:c r="V3" s="135"/>
      <x:c r="W3" s="135"/>
      <x:c r="X3" s="135"/>
      <x:c r="Y3" s="135"/>
      <x:c r="Z3" s="135"/>
      <x:c r="AA3" s="135"/>
      <x:c r="AB3" s="135"/>
      <x:c r="AC3" s="135"/>
      <x:c r="AD3" s="135"/>
      <x:c r="AE3" s="135"/>
      <x:c r="AF3" s="135"/>
      <x:c r="AG3" s="135"/>
      <x:c r="AH3" s="135"/>
      <x:c r="AI3" s="135"/>
      <x:c r="AJ3" s="135"/>
      <x:c r="AK3" s="135"/>
      <x:c r="AL3" s="135"/>
      <x:c r="AM3" s="135"/>
      <x:c r="AN3" s="135"/>
      <x:c r="AO3" s="135"/>
      <x:c r="AP3" s="135"/>
      <x:c r="AQ3" s="135"/>
      <x:c r="AR3" s="135"/>
      <x:c r="AS3" s="135"/>
      <x:c r="AT3" s="135"/>
      <x:c r="AU3" s="135"/>
      <x:c r="AV3" s="135"/>
      <x:c r="AW3" s="135"/>
      <x:c r="AX3" s="135"/>
      <x:c r="AY3" s="135"/>
      <x:c r="AZ3" s="135"/>
    </x:row>
    <x:row r="4" ht="13.5" customHeight="1">
      <x:c r="A4" s="140" t="str">
        <x:v>文書ID: EXPS-DES-04</x:v>
      </x:c>
      <x:c r="B4" s="140"/>
      <x:c r="C4" s="140"/>
      <x:c r="D4" s="140"/>
      <x:c r="E4" s="140"/>
      <x:c r="F4" s="140"/>
      <x:c r="G4" s="140"/>
      <x:c r="H4" s="140"/>
      <x:c r="I4" s="140"/>
      <x:c r="J4" s="140"/>
      <x:c r="K4" s="140"/>
      <x:c r="L4" s="140"/>
      <x:c r="M4" s="140" t="str">
        <x:v>版: 1.2</x:v>
      </x:c>
      <x:c r="N4" s="140"/>
      <x:c r="O4" s="140"/>
      <x:c r="P4" s="140"/>
      <x:c r="Q4" s="140"/>
      <x:c r="R4" s="140"/>
      <x:c r="S4" s="140" t="str">
        <x:v>状態: レビュー中</x:v>
      </x:c>
      <x:c r="T4" s="140"/>
      <x:c r="U4" s="140"/>
      <x:c r="V4" s="140"/>
      <x:c r="W4" s="140"/>
      <x:c r="X4" s="140"/>
      <x:c r="Y4" s="140"/>
      <x:c r="Z4" s="140"/>
      <x:c r="AA4" s="140"/>
      <x:c r="AB4" s="140"/>
      <x:c r="AC4" s="140"/>
      <x:c r="AD4" s="140"/>
      <x:c r="AE4" s="140"/>
      <x:c r="AF4" s="140" t="str">
        <x:v>主管: 業務システム部</x:v>
      </x:c>
      <x:c r="AG4" s="140"/>
      <x:c r="AH4" s="140"/>
      <x:c r="AI4" s="140"/>
      <x:c r="AJ4" s="140"/>
      <x:c r="AK4" s="140"/>
      <x:c r="AL4" s="140"/>
      <x:c r="AM4" s="140"/>
      <x:c r="AN4" s="140"/>
      <x:c r="AO4" s="140"/>
      <x:c r="AP4" s="140"/>
      <x:c r="AQ4" s="140"/>
      <x:c r="AR4" s="140" t="str">
        <x:v>更新: 2026-08-23</x:v>
      </x:c>
      <x:c r="AS4" s="140"/>
      <x:c r="AT4" s="140"/>
      <x:c r="AU4" s="140"/>
      <x:c r="AV4" s="140"/>
      <x:c r="AW4" s="140"/>
      <x:c r="AX4" s="140"/>
      <x:c r="AY4" s="140"/>
      <x:c r="AZ4" s="140"/>
    </x:row>
    <x:row r="5" ht="13.5" customHeight="1">
      <x:c r="A5" s="2"/>
      <x:c r="B5" s="77" t="str">
        <x:v>4.1 エンドツーエンド業務フロー</x:v>
      </x:c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  <x:c r="AA5" s="78"/>
      <x:c r="AB5" s="78"/>
      <x:c r="AC5" s="78"/>
      <x:c r="AD5" s="78"/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9"/>
      <x:c r="AY5" s="2"/>
      <x:c r="AZ5" s="2"/>
    </x:row>
    <x:row r="6" ht="13.5" customHeight="1">
      <x:c r="A6" s="2"/>
      <x:c r="B6" s="80"/>
      <x:c r="C6" s="8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  <x:c r="AA6" s="81"/>
      <x:c r="AB6" s="81"/>
      <x:c r="AC6" s="81"/>
      <x:c r="AD6" s="81"/>
      <x:c r="AE6" s="81"/>
      <x:c r="AF6" s="81"/>
      <x:c r="AG6" s="81"/>
      <x:c r="AH6" s="81"/>
      <x:c r="AI6" s="81"/>
      <x:c r="AJ6" s="81"/>
      <x:c r="AK6" s="81"/>
      <x:c r="AL6" s="81"/>
      <x:c r="AM6" s="81"/>
      <x:c r="AN6" s="81"/>
      <x:c r="AO6" s="81"/>
      <x:c r="AP6" s="81"/>
      <x:c r="AQ6" s="81"/>
      <x:c r="AR6" s="81"/>
      <x:c r="AS6" s="81"/>
      <x:c r="AT6" s="81"/>
      <x:c r="AU6" s="81"/>
      <x:c r="AV6" s="81"/>
      <x:c r="AW6" s="81"/>
      <x:c r="AX6" s="82"/>
      <x:c r="AY6" s="2"/>
      <x:c r="AZ6" s="2"/>
    </x:row>
    <x:row r="7" ht="13.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13.5" customHeight="1">
      <x:c r="A8" s="2"/>
      <x:c r="B8" s="598" t="str">
        <x:v>申請者</x:v>
      </x:c>
      <x:c r="C8" s="599"/>
      <x:c r="D8" s="599"/>
      <x:c r="E8" s="599"/>
      <x:c r="F8" s="599"/>
      <x:c r="G8" s="599"/>
      <x:c r="H8" s="599"/>
      <x:c r="I8" s="599"/>
      <x:c r="J8" s="599"/>
      <x:c r="K8" s="599"/>
      <x:c r="L8" s="599"/>
      <x:c r="M8" s="600"/>
      <x:c r="N8" s="642" t="str">
        <x:v>経費システム</x:v>
      </x:c>
      <x:c r="O8" s="643"/>
      <x:c r="P8" s="643"/>
      <x:c r="Q8" s="643"/>
      <x:c r="R8" s="643"/>
      <x:c r="S8" s="643"/>
      <x:c r="T8" s="643"/>
      <x:c r="U8" s="643"/>
      <x:c r="V8" s="643"/>
      <x:c r="W8" s="643"/>
      <x:c r="X8" s="643"/>
      <x:c r="Y8" s="643"/>
      <x:c r="Z8" s="643"/>
      <x:c r="AA8" s="644"/>
      <x:c r="AB8" s="687" t="str">
        <x:v>承認者</x:v>
      </x:c>
      <x:c r="AC8" s="688"/>
      <x:c r="AD8" s="688"/>
      <x:c r="AE8" s="688"/>
      <x:c r="AF8" s="688"/>
      <x:c r="AG8" s="688"/>
      <x:c r="AH8" s="688"/>
      <x:c r="AI8" s="688"/>
      <x:c r="AJ8" s="688"/>
      <x:c r="AK8" s="688"/>
      <x:c r="AL8" s="688"/>
      <x:c r="AM8" s="689"/>
      <x:c r="AN8" s="732" t="str">
        <x:v>会計システム</x:v>
      </x:c>
      <x:c r="AO8" s="733"/>
      <x:c r="AP8" s="733"/>
      <x:c r="AQ8" s="733"/>
      <x:c r="AR8" s="733"/>
      <x:c r="AS8" s="733"/>
      <x:c r="AT8" s="733"/>
      <x:c r="AU8" s="733"/>
      <x:c r="AV8" s="733"/>
      <x:c r="AW8" s="733"/>
      <x:c r="AX8" s="733"/>
      <x:c r="AY8" s="734"/>
      <x:c r="AZ8" s="2"/>
    </x:row>
    <x:row r="9" ht="13.5" customHeight="1">
      <x:c r="A9" s="2"/>
      <x:c r="B9" s="601"/>
      <x:c r="C9" s="602"/>
      <x:c r="D9" s="602"/>
      <x:c r="E9" s="602"/>
      <x:c r="F9" s="602"/>
      <x:c r="G9" s="602"/>
      <x:c r="H9" s="602"/>
      <x:c r="I9" s="602"/>
      <x:c r="J9" s="602"/>
      <x:c r="K9" s="602"/>
      <x:c r="L9" s="602"/>
      <x:c r="M9" s="603"/>
      <x:c r="N9" s="645"/>
      <x:c r="O9" s="646"/>
      <x:c r="P9" s="646"/>
      <x:c r="Q9" s="646"/>
      <x:c r="R9" s="646"/>
      <x:c r="S9" s="646"/>
      <x:c r="T9" s="646"/>
      <x:c r="U9" s="646"/>
      <x:c r="V9" s="646"/>
      <x:c r="W9" s="646"/>
      <x:c r="X9" s="646"/>
      <x:c r="Y9" s="646"/>
      <x:c r="Z9" s="646"/>
      <x:c r="AA9" s="647"/>
      <x:c r="AB9" s="690"/>
      <x:c r="AC9" s="691"/>
      <x:c r="AD9" s="691"/>
      <x:c r="AE9" s="691"/>
      <x:c r="AF9" s="691"/>
      <x:c r="AG9" s="691"/>
      <x:c r="AH9" s="691"/>
      <x:c r="AI9" s="691"/>
      <x:c r="AJ9" s="691"/>
      <x:c r="AK9" s="691"/>
      <x:c r="AL9" s="691"/>
      <x:c r="AM9" s="692"/>
      <x:c r="AN9" s="735"/>
      <x:c r="AO9" s="736"/>
      <x:c r="AP9" s="736"/>
      <x:c r="AQ9" s="736"/>
      <x:c r="AR9" s="736"/>
      <x:c r="AS9" s="736"/>
      <x:c r="AT9" s="736"/>
      <x:c r="AU9" s="736"/>
      <x:c r="AV9" s="736"/>
      <x:c r="AW9" s="736"/>
      <x:c r="AX9" s="736"/>
      <x:c r="AY9" s="737"/>
      <x:c r="AZ9" s="2"/>
    </x:row>
    <x:row r="10" ht="13.5" customHeight="1">
      <x:c r="A10" s="2"/>
      <x:c r="B10" s="604"/>
      <x:c r="C10" s="605"/>
      <x:c r="D10" s="605"/>
      <x:c r="E10" s="605"/>
      <x:c r="F10" s="605"/>
      <x:c r="G10" s="605"/>
      <x:c r="H10" s="605"/>
      <x:c r="I10" s="605"/>
      <x:c r="J10" s="605"/>
      <x:c r="K10" s="605"/>
      <x:c r="L10" s="605"/>
      <x:c r="M10" s="606"/>
      <x:c r="N10" s="648"/>
      <x:c r="O10" s="649"/>
      <x:c r="P10" s="649"/>
      <x:c r="Q10" s="649"/>
      <x:c r="R10" s="649"/>
      <x:c r="S10" s="649"/>
      <x:c r="T10" s="649"/>
      <x:c r="U10" s="649"/>
      <x:c r="V10" s="649"/>
      <x:c r="W10" s="649"/>
      <x:c r="X10" s="649"/>
      <x:c r="Y10" s="649"/>
      <x:c r="Z10" s="649"/>
      <x:c r="AA10" s="650"/>
      <x:c r="AB10" s="693"/>
      <x:c r="AC10" s="694"/>
      <x:c r="AD10" s="694"/>
      <x:c r="AE10" s="694"/>
      <x:c r="AF10" s="694"/>
      <x:c r="AG10" s="694"/>
      <x:c r="AH10" s="694"/>
      <x:c r="AI10" s="694"/>
      <x:c r="AJ10" s="694"/>
      <x:c r="AK10" s="694"/>
      <x:c r="AL10" s="694"/>
      <x:c r="AM10" s="695"/>
      <x:c r="AN10" s="738"/>
      <x:c r="AO10" s="739"/>
      <x:c r="AP10" s="739"/>
      <x:c r="AQ10" s="739"/>
      <x:c r="AR10" s="739"/>
      <x:c r="AS10" s="739"/>
      <x:c r="AT10" s="739"/>
      <x:c r="AU10" s="739"/>
      <x:c r="AV10" s="739"/>
      <x:c r="AW10" s="739"/>
      <x:c r="AX10" s="739"/>
      <x:c r="AY10" s="740"/>
      <x:c r="AZ10" s="2"/>
    </x:row>
    <x:row r="11" ht="13.5" customHeight="1">
      <x:c r="A11" s="2"/>
      <x:c r="B11" s="607"/>
      <x:c r="C11" s="608"/>
      <x:c r="D11" s="608"/>
      <x:c r="E11" s="608"/>
      <x:c r="F11" s="608"/>
      <x:c r="G11" s="608"/>
      <x:c r="H11" s="608"/>
      <x:c r="I11" s="608"/>
      <x:c r="J11" s="608"/>
      <x:c r="K11" s="608"/>
      <x:c r="L11" s="608"/>
      <x:c r="M11" s="609"/>
      <x:c r="N11" s="651"/>
      <x:c r="O11" s="652"/>
      <x:c r="P11" s="652"/>
      <x:c r="Q11" s="652"/>
      <x:c r="R11" s="652"/>
      <x:c r="S11" s="652"/>
      <x:c r="T11" s="652"/>
      <x:c r="U11" s="652"/>
      <x:c r="V11" s="652"/>
      <x:c r="W11" s="652"/>
      <x:c r="X11" s="652"/>
      <x:c r="Y11" s="652"/>
      <x:c r="Z11" s="652"/>
      <x:c r="AA11" s="653"/>
      <x:c r="AB11" s="696"/>
      <x:c r="AC11" s="697"/>
      <x:c r="AD11" s="697"/>
      <x:c r="AE11" s="697"/>
      <x:c r="AF11" s="697"/>
      <x:c r="AG11" s="697"/>
      <x:c r="AH11" s="697"/>
      <x:c r="AI11" s="697"/>
      <x:c r="AJ11" s="697"/>
      <x:c r="AK11" s="697"/>
      <x:c r="AL11" s="697"/>
      <x:c r="AM11" s="698"/>
      <x:c r="AN11" s="741"/>
      <x:c r="AO11" s="742"/>
      <x:c r="AP11" s="742"/>
      <x:c r="AQ11" s="742"/>
      <x:c r="AR11" s="742"/>
      <x:c r="AS11" s="742"/>
      <x:c r="AT11" s="742"/>
      <x:c r="AU11" s="742"/>
      <x:c r="AV11" s="742"/>
      <x:c r="AW11" s="742"/>
      <x:c r="AX11" s="742"/>
      <x:c r="AY11" s="743"/>
      <x:c r="AZ11" s="2"/>
    </x:row>
    <x:row r="12" ht="13.5" customHeight="1">
      <x:c r="A12" s="2"/>
      <x:c r="B12" s="610"/>
      <x:c r="C12" s="2"/>
      <x:c r="D12" s="2"/>
      <x:c r="E12" s="403" t="str">
        <x:v>BF-00
開始</x:v>
      </x:c>
      <x:c r="F12" s="403"/>
      <x:c r="G12" s="403"/>
      <x:c r="H12" s="403"/>
      <x:c r="I12" s="403"/>
      <x:c r="J12" s="403"/>
      <x:c r="K12" s="2"/>
      <x:c r="L12" s="2"/>
      <x:c r="M12" s="611"/>
      <x:c r="N12" s="654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655"/>
      <x:c r="AB12" s="699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700"/>
      <x:c r="AN12" s="744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745"/>
      <x:c r="AZ12" s="2"/>
    </x:row>
    <x:row r="13" ht="13.5" customHeight="1">
      <x:c r="A13" s="2"/>
      <x:c r="B13" s="610"/>
      <x:c r="C13" s="2"/>
      <x:c r="D13" s="2"/>
      <x:c r="E13" s="403"/>
      <x:c r="F13" s="403"/>
      <x:c r="G13" s="403"/>
      <x:c r="H13" s="403"/>
      <x:c r="I13" s="403"/>
      <x:c r="J13" s="403"/>
      <x:c r="K13" s="2"/>
      <x:c r="L13" s="2"/>
      <x:c r="M13" s="611"/>
      <x:c r="N13" s="654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655"/>
      <x:c r="AB13" s="699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700"/>
      <x:c r="AN13" s="744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745"/>
      <x:c r="AZ13" s="2"/>
    </x:row>
    <x:row r="14" ht="13.5" customHeight="1">
      <x:c r="A14" s="2"/>
      <x:c r="B14" s="610"/>
      <x:c r="C14" s="2"/>
      <x:c r="D14" s="2"/>
      <x:c r="E14" s="403"/>
      <x:c r="F14" s="403"/>
      <x:c r="G14" s="403"/>
      <x:c r="H14" s="403"/>
      <x:c r="I14" s="403"/>
      <x:c r="J14" s="403"/>
      <x:c r="K14" s="2"/>
      <x:c r="L14" s="2"/>
      <x:c r="M14" s="611"/>
      <x:c r="N14" s="654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655"/>
      <x:c r="AB14" s="699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700"/>
      <x:c r="AN14" s="744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745"/>
      <x:c r="AZ14" s="2"/>
    </x:row>
    <x:row r="15" ht="13.5" customHeight="1">
      <x:c r="A15" s="2"/>
      <x:c r="B15" s="610"/>
      <x:c r="C15" s="2"/>
      <x:c r="D15" s="2"/>
      <x:c r="E15" s="403"/>
      <x:c r="F15" s="403"/>
      <x:c r="G15" s="403"/>
      <x:c r="H15" s="403"/>
      <x:c r="I15" s="403"/>
      <x:c r="J15" s="403"/>
      <x:c r="K15" s="2"/>
      <x:c r="L15" s="2"/>
      <x:c r="M15" s="611"/>
      <x:c r="N15" s="654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655"/>
      <x:c r="AB15" s="699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700"/>
      <x:c r="AN15" s="744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745"/>
      <x:c r="AZ15" s="2"/>
    </x:row>
    <x:row r="16" ht="13.5" customHeight="1">
      <x:c r="A16" s="2"/>
      <x:c r="B16" s="610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611"/>
      <x:c r="N16" s="654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655"/>
      <x:c r="AB16" s="699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700"/>
      <x:c r="AN16" s="744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745"/>
      <x:c r="AZ16" s="2"/>
    </x:row>
    <x:row r="17" ht="13.5" customHeight="1">
      <x:c r="A17" s="2"/>
      <x:c r="B17" s="610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611"/>
      <x:c r="N17" s="654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655"/>
      <x:c r="AB17" s="699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700"/>
      <x:c r="AN17" s="744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745"/>
      <x:c r="AZ17" s="2"/>
    </x:row>
    <x:row r="18" ht="13.5" customHeight="1">
      <x:c r="A18" s="2"/>
      <x:c r="B18" s="610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611"/>
      <x:c r="N18" s="654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655"/>
      <x:c r="AB18" s="699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700"/>
      <x:c r="AN18" s="744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745"/>
      <x:c r="AZ18" s="2"/>
    </x:row>
    <x:row r="19" ht="13.5" customHeight="1">
      <x:c r="A19" s="2"/>
      <x:c r="B19" s="610"/>
      <x:c r="C19" s="2"/>
      <x:c r="D19" s="144" t="str">
        <x:v>BF-01
領収書・明細を入力</x:v>
      </x:c>
      <x:c r="E19" s="144"/>
      <x:c r="F19" s="144"/>
      <x:c r="G19" s="144"/>
      <x:c r="H19" s="144"/>
      <x:c r="I19" s="144"/>
      <x:c r="J19" s="144"/>
      <x:c r="K19" s="144"/>
      <x:c r="L19" s="2"/>
      <x:c r="M19" s="611"/>
      <x:c r="N19" s="654"/>
      <x:c r="O19" s="2"/>
      <x:c r="P19" s="2"/>
      <x:c r="Q19" s="2"/>
      <x:c r="R19" s="144" t="str">
        <x:v>BF-02
形式・必須チェック</x:v>
      </x:c>
      <x:c r="S19" s="144"/>
      <x:c r="T19" s="144"/>
      <x:c r="U19" s="144"/>
      <x:c r="V19" s="144"/>
      <x:c r="W19" s="144"/>
      <x:c r="X19" s="144"/>
      <x:c r="Y19" s="144"/>
      <x:c r="Z19" s="2"/>
      <x:c r="AA19" s="655"/>
      <x:c r="AB19" s="699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700"/>
      <x:c r="AN19" s="744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745"/>
      <x:c r="AZ19" s="2"/>
    </x:row>
    <x:row r="20" ht="13.5" customHeight="1">
      <x:c r="A20" s="2"/>
      <x:c r="B20" s="610"/>
      <x:c r="C20" s="2"/>
      <x:c r="D20" s="144"/>
      <x:c r="E20" s="144"/>
      <x:c r="F20" s="144"/>
      <x:c r="G20" s="144"/>
      <x:c r="H20" s="144"/>
      <x:c r="I20" s="144"/>
      <x:c r="J20" s="144"/>
      <x:c r="K20" s="144"/>
      <x:c r="L20" s="148" t="str">
        <x:v>提出</x:v>
      </x:c>
      <x:c r="M20" s="755"/>
      <x:c r="N20" s="756"/>
      <x:c r="O20" s="148"/>
      <x:c r="P20" s="148"/>
      <x:c r="Q20" s="148"/>
      <x:c r="R20" s="144"/>
      <x:c r="S20" s="144"/>
      <x:c r="T20" s="144"/>
      <x:c r="U20" s="144"/>
      <x:c r="V20" s="144"/>
      <x:c r="W20" s="144"/>
      <x:c r="X20" s="144"/>
      <x:c r="Y20" s="144"/>
      <x:c r="Z20" s="2"/>
      <x:c r="AA20" s="655"/>
      <x:c r="AB20" s="699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700"/>
      <x:c r="AN20" s="744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745"/>
      <x:c r="AZ20" s="2"/>
    </x:row>
    <x:row r="21" ht="13.5" customHeight="1">
      <x:c r="A21" s="2"/>
      <x:c r="B21" s="610"/>
      <x:c r="C21" s="2"/>
      <x:c r="D21" s="144"/>
      <x:c r="E21" s="144"/>
      <x:c r="F21" s="144"/>
      <x:c r="G21" s="144"/>
      <x:c r="H21" s="144"/>
      <x:c r="I21" s="144"/>
      <x:c r="J21" s="144"/>
      <x:c r="K21" s="144"/>
      <x:c r="L21" s="2"/>
      <x:c r="M21" s="611"/>
      <x:c r="N21" s="654"/>
      <x:c r="O21" s="2"/>
      <x:c r="P21" s="2"/>
      <x:c r="Q21" s="2"/>
      <x:c r="R21" s="144"/>
      <x:c r="S21" s="144"/>
      <x:c r="T21" s="144"/>
      <x:c r="U21" s="144"/>
      <x:c r="V21" s="144"/>
      <x:c r="W21" s="144"/>
      <x:c r="X21" s="144"/>
      <x:c r="Y21" s="144"/>
      <x:c r="Z21" s="2"/>
      <x:c r="AA21" s="655"/>
      <x:c r="AB21" s="699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700"/>
      <x:c r="AN21" s="744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745"/>
      <x:c r="AZ21" s="2"/>
    </x:row>
    <x:row r="22" ht="13.5" customHeight="1">
      <x:c r="A22" s="2"/>
      <x:c r="B22" s="610"/>
      <x:c r="C22" s="2"/>
      <x:c r="D22" s="144"/>
      <x:c r="E22" s="144"/>
      <x:c r="F22" s="144"/>
      <x:c r="G22" s="144"/>
      <x:c r="H22" s="144"/>
      <x:c r="I22" s="144"/>
      <x:c r="J22" s="144"/>
      <x:c r="K22" s="144"/>
      <x:c r="L22" s="2"/>
      <x:c r="M22" s="611"/>
      <x:c r="N22" s="654"/>
      <x:c r="O22" s="2"/>
      <x:c r="P22" s="2"/>
      <x:c r="Q22" s="2"/>
      <x:c r="R22" s="144"/>
      <x:c r="S22" s="144"/>
      <x:c r="T22" s="144"/>
      <x:c r="U22" s="144"/>
      <x:c r="V22" s="144"/>
      <x:c r="W22" s="144"/>
      <x:c r="X22" s="144"/>
      <x:c r="Y22" s="144"/>
      <x:c r="Z22" s="2"/>
      <x:c r="AA22" s="655"/>
      <x:c r="AB22" s="699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700"/>
      <x:c r="AN22" s="744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745"/>
      <x:c r="AZ22" s="2"/>
    </x:row>
    <x:row r="23" ht="13.5" customHeight="1">
      <x:c r="A23" s="2"/>
      <x:c r="B23" s="610"/>
      <x:c r="C23" s="2"/>
      <x:c r="D23" s="144"/>
      <x:c r="E23" s="144"/>
      <x:c r="F23" s="144"/>
      <x:c r="G23" s="144"/>
      <x:c r="H23" s="144"/>
      <x:c r="I23" s="144"/>
      <x:c r="J23" s="144"/>
      <x:c r="K23" s="144"/>
      <x:c r="L23" s="2"/>
      <x:c r="M23" s="611"/>
      <x:c r="N23" s="654"/>
      <x:c r="O23" s="2"/>
      <x:c r="P23" s="2"/>
      <x:c r="Q23" s="2"/>
      <x:c r="R23" s="144"/>
      <x:c r="S23" s="144"/>
      <x:c r="T23" s="144"/>
      <x:c r="U23" s="144"/>
      <x:c r="V23" s="144"/>
      <x:c r="W23" s="144"/>
      <x:c r="X23" s="144"/>
      <x:c r="Y23" s="144"/>
      <x:c r="Z23" s="2"/>
      <x:c r="AA23" s="655"/>
      <x:c r="AB23" s="699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700"/>
      <x:c r="AN23" s="744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745"/>
      <x:c r="AZ23" s="2"/>
    </x:row>
    <x:row r="24" ht="13.5" customHeight="1">
      <x:c r="A24" s="2"/>
      <x:c r="B24" s="610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611"/>
      <x:c r="N24" s="654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655"/>
      <x:c r="AB24" s="699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700"/>
      <x:c r="AN24" s="744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745"/>
      <x:c r="AZ24" s="2"/>
    </x:row>
    <x:row r="25" ht="13.5" customHeight="1">
      <x:c r="A25" s="2"/>
      <x:c r="B25" s="610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611"/>
      <x:c r="N25" s="654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655"/>
      <x:c r="AB25" s="699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700"/>
      <x:c r="AN25" s="744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745"/>
      <x:c r="AZ25" s="2"/>
    </x:row>
    <x:row r="26" ht="13.5" customHeight="1">
      <x:c r="A26" s="2"/>
      <x:c r="B26" s="610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611"/>
      <x:c r="N26" s="654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655"/>
      <x:c r="AB26" s="699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700"/>
      <x:c r="AN26" s="744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745"/>
      <x:c r="AZ26" s="2"/>
    </x:row>
    <x:row r="27" ht="13.5" customHeight="1">
      <x:c r="A27" s="2"/>
      <x:c r="B27" s="610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611"/>
      <x:c r="N27" s="654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655"/>
      <x:c r="AB27" s="699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700"/>
      <x:c r="AN27" s="744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745"/>
      <x:c r="AZ27" s="2"/>
    </x:row>
    <x:row r="28" ht="13.5" customHeight="1">
      <x:c r="A28" s="2"/>
      <x:c r="B28" s="610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611"/>
      <x:c r="N28" s="654"/>
      <x:c r="O28" s="2"/>
      <x:c r="P28" s="2"/>
      <x:c r="Q28" s="2"/>
      <x:c r="R28" s="144" t="str">
        <x:v>GW-01
入力は妥当？</x:v>
      </x:c>
      <x:c r="S28" s="144"/>
      <x:c r="T28" s="144"/>
      <x:c r="U28" s="144"/>
      <x:c r="V28" s="144"/>
      <x:c r="W28" s="144"/>
      <x:c r="X28" s="144"/>
      <x:c r="Y28" s="144"/>
      <x:c r="Z28" s="2"/>
      <x:c r="AA28" s="655"/>
      <x:c r="AB28" s="699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700"/>
      <x:c r="AN28" s="744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745"/>
      <x:c r="AZ28" s="2"/>
    </x:row>
    <x:row r="29" ht="13.5" customHeight="1">
      <x:c r="A29" s="2"/>
      <x:c r="B29" s="610"/>
      <x:c r="C29" s="2"/>
      <x:c r="D29" s="2"/>
      <x:c r="E29" s="2"/>
      <x:c r="F29" s="2"/>
      <x:c r="G29" s="2"/>
      <x:c r="H29" s="2"/>
      <x:c r="I29" s="2"/>
      <x:c r="J29" s="2"/>
      <x:c r="K29" s="2"/>
      <x:c r="L29" s="405" t="str">
        <x:v>NG：エラー表示</x:v>
      </x:c>
      <x:c r="M29" s="763"/>
      <x:c r="N29" s="764"/>
      <x:c r="O29" s="405"/>
      <x:c r="P29" s="405"/>
      <x:c r="Q29" s="405"/>
      <x:c r="R29" s="144"/>
      <x:c r="S29" s="144"/>
      <x:c r="T29" s="144"/>
      <x:c r="U29" s="144"/>
      <x:c r="V29" s="144"/>
      <x:c r="W29" s="144"/>
      <x:c r="X29" s="144"/>
      <x:c r="Y29" s="144"/>
      <x:c r="Z29" s="2"/>
      <x:c r="AA29" s="655"/>
      <x:c r="AB29" s="699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700"/>
      <x:c r="AN29" s="744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745"/>
      <x:c r="AZ29" s="2"/>
    </x:row>
    <x:row r="30" ht="13.5" customHeight="1">
      <x:c r="A30" s="2"/>
      <x:c r="B30" s="610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611"/>
      <x:c r="N30" s="654"/>
      <x:c r="O30" s="2"/>
      <x:c r="P30" s="2"/>
      <x:c r="Q30" s="2"/>
      <x:c r="R30" s="144"/>
      <x:c r="S30" s="144"/>
      <x:c r="T30" s="144"/>
      <x:c r="U30" s="144"/>
      <x:c r="V30" s="144"/>
      <x:c r="W30" s="144"/>
      <x:c r="X30" s="144"/>
      <x:c r="Y30" s="144"/>
      <x:c r="Z30" s="2"/>
      <x:c r="AA30" s="655"/>
      <x:c r="AB30" s="699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700"/>
      <x:c r="AN30" s="744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745"/>
      <x:c r="AZ30" s="2"/>
    </x:row>
    <x:row r="31" ht="13.5" customHeight="1">
      <x:c r="A31" s="2"/>
      <x:c r="B31" s="610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611"/>
      <x:c r="N31" s="654"/>
      <x:c r="O31" s="2"/>
      <x:c r="P31" s="2"/>
      <x:c r="Q31" s="2"/>
      <x:c r="R31" s="144"/>
      <x:c r="S31" s="144"/>
      <x:c r="T31" s="144"/>
      <x:c r="U31" s="144"/>
      <x:c r="V31" s="144"/>
      <x:c r="W31" s="144"/>
      <x:c r="X31" s="144"/>
      <x:c r="Y31" s="144"/>
      <x:c r="Z31" s="2"/>
      <x:c r="AA31" s="655"/>
      <x:c r="AB31" s="699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700"/>
      <x:c r="AN31" s="744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745"/>
      <x:c r="AZ31" s="2"/>
    </x:row>
    <x:row r="32" ht="13.5" customHeight="1">
      <x:c r="A32" s="2"/>
      <x:c r="B32" s="610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611"/>
      <x:c r="N32" s="654"/>
      <x:c r="O32" s="2"/>
      <x:c r="P32" s="2"/>
      <x:c r="Q32" s="2"/>
      <x:c r="R32" s="144"/>
      <x:c r="S32" s="144"/>
      <x:c r="T32" s="144"/>
      <x:c r="U32" s="144"/>
      <x:c r="V32" s="144"/>
      <x:c r="W32" s="144"/>
      <x:c r="X32" s="144"/>
      <x:c r="Y32" s="144"/>
      <x:c r="Z32" s="2"/>
      <x:c r="AA32" s="655"/>
      <x:c r="AB32" s="699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700"/>
      <x:c r="AN32" s="744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745"/>
      <x:c r="AZ32" s="2"/>
    </x:row>
    <x:row r="33" ht="13.5" customHeight="1">
      <x:c r="A33" s="2"/>
      <x:c r="B33" s="610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611"/>
      <x:c r="N33" s="654"/>
      <x:c r="O33" s="2"/>
      <x:c r="P33" s="2"/>
      <x:c r="Q33" s="2"/>
      <x:c r="R33" s="144"/>
      <x:c r="S33" s="144"/>
      <x:c r="T33" s="144"/>
      <x:c r="U33" s="144"/>
      <x:c r="V33" s="144"/>
      <x:c r="W33" s="144"/>
      <x:c r="X33" s="144"/>
      <x:c r="Y33" s="144"/>
      <x:c r="Z33" s="2"/>
      <x:c r="AA33" s="655"/>
      <x:c r="AB33" s="699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700"/>
      <x:c r="AN33" s="744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745"/>
      <x:c r="AZ33" s="2"/>
    </x:row>
    <x:row r="34" ht="13.5" customHeight="1">
      <x:c r="A34" s="2"/>
      <x:c r="B34" s="610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611"/>
      <x:c r="N34" s="654"/>
      <x:c r="O34" s="2"/>
      <x:c r="P34" s="2"/>
      <x:c r="Q34" s="2"/>
      <x:c r="R34" s="144"/>
      <x:c r="S34" s="144"/>
      <x:c r="T34" s="144"/>
      <x:c r="U34" s="144"/>
      <x:c r="V34" s="144"/>
      <x:c r="W34" s="144"/>
      <x:c r="X34" s="144"/>
      <x:c r="Y34" s="144"/>
      <x:c r="Z34" s="2"/>
      <x:c r="AA34" s="655"/>
      <x:c r="AB34" s="699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700"/>
      <x:c r="AN34" s="744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745"/>
      <x:c r="AZ34" s="2"/>
    </x:row>
    <x:row r="35" ht="13.5" customHeight="1">
      <x:c r="A35" s="2"/>
      <x:c r="B35" s="610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611"/>
      <x:c r="N35" s="654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655"/>
      <x:c r="AB35" s="699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700"/>
      <x:c r="AN35" s="744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745"/>
      <x:c r="AZ35" s="2"/>
    </x:row>
    <x:row r="36" ht="13.5" customHeight="1">
      <x:c r="A36" s="2"/>
      <x:c r="B36" s="610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611"/>
      <x:c r="N36" s="654"/>
      <x:c r="O36" s="2"/>
      <x:c r="P36" s="2"/>
      <x:c r="Q36" s="2"/>
      <x:c r="R36" s="2"/>
      <x:c r="S36" s="2"/>
      <x:c r="T36" s="2"/>
      <x:c r="U36" s="2"/>
      <x:c r="V36" s="156" t="str">
        <x:v>OK</x:v>
      </x:c>
      <x:c r="W36" s="156"/>
      <x:c r="X36" s="156"/>
      <x:c r="Y36" s="156"/>
      <x:c r="Z36" s="2"/>
      <x:c r="AA36" s="655"/>
      <x:c r="AB36" s="699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700"/>
      <x:c r="AN36" s="744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745"/>
      <x:c r="AZ36" s="2"/>
    </x:row>
    <x:row r="37" ht="13.5" customHeight="1">
      <x:c r="A37" s="2"/>
      <x:c r="B37" s="610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611"/>
      <x:c r="N37" s="654"/>
      <x:c r="O37" s="2"/>
      <x:c r="P37" s="2"/>
      <x:c r="Q37" s="2"/>
      <x:c r="R37" s="2"/>
      <x:c r="S37" s="2"/>
      <x:c r="T37" s="2"/>
      <x:c r="U37" s="2"/>
      <x:c r="V37" s="156"/>
      <x:c r="W37" s="156"/>
      <x:c r="X37" s="156"/>
      <x:c r="Y37" s="156"/>
      <x:c r="Z37" s="2"/>
      <x:c r="AA37" s="655"/>
      <x:c r="AB37" s="699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700"/>
      <x:c r="AN37" s="744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745"/>
      <x:c r="AZ37" s="2"/>
    </x:row>
    <x:row r="38" ht="13.5" customHeight="1">
      <x:c r="A38" s="2"/>
      <x:c r="B38" s="610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611"/>
      <x:c r="N38" s="654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655"/>
      <x:c r="AB38" s="699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700"/>
      <x:c r="AN38" s="744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745"/>
      <x:c r="AZ38" s="2"/>
    </x:row>
    <x:row r="39" ht="13.5" customHeight="1">
      <x:c r="A39" s="2"/>
      <x:c r="B39" s="610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611"/>
      <x:c r="N39" s="654"/>
      <x:c r="O39" s="2"/>
      <x:c r="P39" s="2"/>
      <x:c r="Q39" s="2"/>
      <x:c r="R39" s="144" t="str">
        <x:v>BF-03 申請登録
SUBMITTED
TX-01</x:v>
      </x:c>
      <x:c r="S39" s="144"/>
      <x:c r="T39" s="144"/>
      <x:c r="U39" s="144"/>
      <x:c r="V39" s="144"/>
      <x:c r="W39" s="144"/>
      <x:c r="X39" s="144"/>
      <x:c r="Y39" s="144"/>
      <x:c r="Z39" s="2"/>
      <x:c r="AA39" s="655"/>
      <x:c r="AB39" s="699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700"/>
      <x:c r="AN39" s="744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745"/>
      <x:c r="AZ39" s="2"/>
    </x:row>
    <x:row r="40" ht="13.5" customHeight="1">
      <x:c r="A40" s="2"/>
      <x:c r="B40" s="610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611"/>
      <x:c r="N40" s="654"/>
      <x:c r="O40" s="2"/>
      <x:c r="P40" s="2"/>
      <x:c r="Q40" s="2"/>
      <x:c r="R40" s="144"/>
      <x:c r="S40" s="144"/>
      <x:c r="T40" s="144"/>
      <x:c r="U40" s="144"/>
      <x:c r="V40" s="144"/>
      <x:c r="W40" s="144"/>
      <x:c r="X40" s="144"/>
      <x:c r="Y40" s="144"/>
      <x:c r="Z40" s="2"/>
      <x:c r="AA40" s="655"/>
      <x:c r="AB40" s="699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700"/>
      <x:c r="AN40" s="744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745"/>
      <x:c r="AZ40" s="2"/>
    </x:row>
    <x:row r="41" ht="13.5" customHeight="1">
      <x:c r="A41" s="2"/>
      <x:c r="B41" s="610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611"/>
      <x:c r="N41" s="654"/>
      <x:c r="O41" s="2"/>
      <x:c r="P41" s="2"/>
      <x:c r="Q41" s="2"/>
      <x:c r="R41" s="144"/>
      <x:c r="S41" s="144"/>
      <x:c r="T41" s="144"/>
      <x:c r="U41" s="144"/>
      <x:c r="V41" s="144"/>
      <x:c r="W41" s="144"/>
      <x:c r="X41" s="144"/>
      <x:c r="Y41" s="144"/>
      <x:c r="Z41" s="2"/>
      <x:c r="AA41" s="655"/>
      <x:c r="AB41" s="699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700"/>
      <x:c r="AN41" s="744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745"/>
      <x:c r="AZ41" s="2"/>
    </x:row>
    <x:row r="42" ht="13.5" customHeight="1">
      <x:c r="A42" s="2"/>
      <x:c r="B42" s="610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611"/>
      <x:c r="N42" s="654"/>
      <x:c r="O42" s="2"/>
      <x:c r="P42" s="2"/>
      <x:c r="Q42" s="2"/>
      <x:c r="R42" s="144"/>
      <x:c r="S42" s="144"/>
      <x:c r="T42" s="144"/>
      <x:c r="U42" s="144"/>
      <x:c r="V42" s="144"/>
      <x:c r="W42" s="144"/>
      <x:c r="X42" s="144"/>
      <x:c r="Y42" s="144"/>
      <x:c r="Z42" s="2"/>
      <x:c r="AA42" s="655"/>
      <x:c r="AB42" s="699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700"/>
      <x:c r="AN42" s="744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745"/>
      <x:c r="AZ42" s="2"/>
    </x:row>
    <x:row r="43" ht="13.5" customHeight="1">
      <x:c r="A43" s="2"/>
      <x:c r="B43" s="610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611"/>
      <x:c r="N43" s="654"/>
      <x:c r="O43" s="2"/>
      <x:c r="P43" s="2"/>
      <x:c r="Q43" s="2"/>
      <x:c r="R43" s="144"/>
      <x:c r="S43" s="144"/>
      <x:c r="T43" s="144"/>
      <x:c r="U43" s="144"/>
      <x:c r="V43" s="144"/>
      <x:c r="W43" s="144"/>
      <x:c r="X43" s="144"/>
      <x:c r="Y43" s="144"/>
      <x:c r="Z43" s="2"/>
      <x:c r="AA43" s="655"/>
      <x:c r="AB43" s="699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700"/>
      <x:c r="AN43" s="744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745"/>
      <x:c r="AZ43" s="2"/>
    </x:row>
    <x:row r="44" ht="13.5" customHeight="1">
      <x:c r="A44" s="2"/>
      <x:c r="B44" s="610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611"/>
      <x:c r="N44" s="654"/>
      <x:c r="O44" s="2"/>
      <x:c r="P44" s="2"/>
      <x:c r="Q44" s="2"/>
      <x:c r="R44" s="144"/>
      <x:c r="S44" s="144"/>
      <x:c r="T44" s="144"/>
      <x:c r="U44" s="144"/>
      <x:c r="V44" s="144"/>
      <x:c r="W44" s="144"/>
      <x:c r="X44" s="144"/>
      <x:c r="Y44" s="144"/>
      <x:c r="Z44" s="2"/>
      <x:c r="AA44" s="655"/>
      <x:c r="AB44" s="699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700"/>
      <x:c r="AN44" s="744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745"/>
      <x:c r="AZ44" s="2"/>
    </x:row>
    <x:row r="45" ht="13.5" customHeight="1">
      <x:c r="A45" s="2"/>
      <x:c r="B45" s="610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611"/>
      <x:c r="N45" s="654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655"/>
      <x:c r="AB45" s="699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700"/>
      <x:c r="AN45" s="744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745"/>
      <x:c r="AZ45" s="2"/>
    </x:row>
    <x:row r="46" ht="13.5" customHeight="1">
      <x:c r="A46" s="2"/>
      <x:c r="B46" s="610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611"/>
      <x:c r="N46" s="654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655"/>
      <x:c r="AB46" s="699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700"/>
      <x:c r="AN46" s="744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745"/>
      <x:c r="AZ46" s="2"/>
    </x:row>
    <x:row r="47" ht="13.5" customHeight="1">
      <x:c r="A47" s="2"/>
      <x:c r="B47" s="610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611"/>
      <x:c r="N47" s="654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655"/>
      <x:c r="AB47" s="699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700"/>
      <x:c r="AN47" s="744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745"/>
      <x:c r="AZ47" s="2"/>
    </x:row>
    <x:row r="48" ht="13.5" customHeight="1">
      <x:c r="A48" s="2"/>
      <x:c r="B48" s="610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611"/>
      <x:c r="N48" s="654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655"/>
      <x:c r="AB48" s="699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700"/>
      <x:c r="AN48" s="744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745"/>
      <x:c r="AZ48" s="2"/>
    </x:row>
    <x:row r="49" ht="13.5" customHeight="1">
      <x:c r="A49" s="2"/>
      <x:c r="B49" s="610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611"/>
      <x:c r="N49" s="654"/>
      <x:c r="O49" s="2"/>
      <x:c r="P49" s="2"/>
      <x:c r="Q49" s="144" t="str">
        <x:v>BF-04 承認者決定
100,000円以下=課長
超過=部長</x:v>
      </x:c>
      <x:c r="R49" s="144"/>
      <x:c r="S49" s="144"/>
      <x:c r="T49" s="144"/>
      <x:c r="U49" s="144"/>
      <x:c r="V49" s="144"/>
      <x:c r="W49" s="144"/>
      <x:c r="X49" s="144"/>
      <x:c r="Y49" s="144"/>
      <x:c r="Z49" s="144"/>
      <x:c r="AA49" s="655"/>
      <x:c r="AB49" s="699"/>
      <x:c r="AC49" s="2"/>
      <x:c r="AD49" s="2"/>
      <x:c r="AE49" s="2"/>
      <x:c r="AF49" s="144" t="str">
        <x:v>BF-05
内容確認</x:v>
      </x:c>
      <x:c r="AG49" s="144"/>
      <x:c r="AH49" s="144"/>
      <x:c r="AI49" s="144"/>
      <x:c r="AJ49" s="144"/>
      <x:c r="AK49" s="144"/>
      <x:c r="AL49" s="2"/>
      <x:c r="AM49" s="700"/>
      <x:c r="AN49" s="744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745"/>
      <x:c r="AZ49" s="2"/>
    </x:row>
    <x:row r="50" ht="13.5" customHeight="1">
      <x:c r="A50" s="2"/>
      <x:c r="B50" s="610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611"/>
      <x:c r="N50" s="654"/>
      <x:c r="O50" s="2"/>
      <x:c r="P50" s="2"/>
      <x:c r="Q50" s="144"/>
      <x:c r="R50" s="144"/>
      <x:c r="S50" s="144"/>
      <x:c r="T50" s="144"/>
      <x:c r="U50" s="144"/>
      <x:c r="V50" s="144"/>
      <x:c r="W50" s="144"/>
      <x:c r="X50" s="144"/>
      <x:c r="Y50" s="144"/>
      <x:c r="Z50" s="144"/>
      <x:c r="AA50" s="771" t="str">
        <x:v>承認依頼</x:v>
      </x:c>
      <x:c r="AB50" s="772"/>
      <x:c r="AC50" s="160"/>
      <x:c r="AD50" s="160"/>
      <x:c r="AE50" s="160"/>
      <x:c r="AF50" s="144"/>
      <x:c r="AG50" s="144"/>
      <x:c r="AH50" s="144"/>
      <x:c r="AI50" s="144"/>
      <x:c r="AJ50" s="144"/>
      <x:c r="AK50" s="144"/>
      <x:c r="AL50" s="2"/>
      <x:c r="AM50" s="700"/>
      <x:c r="AN50" s="744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745"/>
      <x:c r="AZ50" s="2"/>
    </x:row>
    <x:row r="51" ht="13.5" customHeight="1">
      <x:c r="A51" s="2"/>
      <x:c r="B51" s="610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611"/>
      <x:c r="N51" s="654"/>
      <x:c r="O51" s="2"/>
      <x:c r="P51" s="2"/>
      <x:c r="Q51" s="144"/>
      <x:c r="R51" s="144"/>
      <x:c r="S51" s="144"/>
      <x:c r="T51" s="144"/>
      <x:c r="U51" s="144"/>
      <x:c r="V51" s="144"/>
      <x:c r="W51" s="144"/>
      <x:c r="X51" s="144"/>
      <x:c r="Y51" s="144"/>
      <x:c r="Z51" s="144"/>
      <x:c r="AA51" s="655"/>
      <x:c r="AB51" s="699"/>
      <x:c r="AC51" s="2"/>
      <x:c r="AD51" s="2"/>
      <x:c r="AE51" s="2"/>
      <x:c r="AF51" s="144"/>
      <x:c r="AG51" s="144"/>
      <x:c r="AH51" s="144"/>
      <x:c r="AI51" s="144"/>
      <x:c r="AJ51" s="144"/>
      <x:c r="AK51" s="144"/>
      <x:c r="AL51" s="2"/>
      <x:c r="AM51" s="700"/>
      <x:c r="AN51" s="744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745"/>
      <x:c r="AZ51" s="2"/>
    </x:row>
    <x:row r="52" ht="13.5" customHeight="1">
      <x:c r="A52" s="2"/>
      <x:c r="B52" s="610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611"/>
      <x:c r="N52" s="654"/>
      <x:c r="O52" s="2"/>
      <x:c r="P52" s="2"/>
      <x:c r="Q52" s="144"/>
      <x:c r="R52" s="144"/>
      <x:c r="S52" s="144"/>
      <x:c r="T52" s="144"/>
      <x:c r="U52" s="144"/>
      <x:c r="V52" s="144"/>
      <x:c r="W52" s="144"/>
      <x:c r="X52" s="144"/>
      <x:c r="Y52" s="144"/>
      <x:c r="Z52" s="144"/>
      <x:c r="AA52" s="655"/>
      <x:c r="AB52" s="699"/>
      <x:c r="AC52" s="2"/>
      <x:c r="AD52" s="2"/>
      <x:c r="AE52" s="2"/>
      <x:c r="AF52" s="144"/>
      <x:c r="AG52" s="144"/>
      <x:c r="AH52" s="144"/>
      <x:c r="AI52" s="144"/>
      <x:c r="AJ52" s="144"/>
      <x:c r="AK52" s="144"/>
      <x:c r="AL52" s="2"/>
      <x:c r="AM52" s="700"/>
      <x:c r="AN52" s="744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745"/>
      <x:c r="AZ52" s="2"/>
    </x:row>
    <x:row r="53" ht="13.5" customHeight="1">
      <x:c r="A53" s="2"/>
      <x:c r="B53" s="610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611"/>
      <x:c r="N53" s="654"/>
      <x:c r="O53" s="2"/>
      <x:c r="P53" s="2"/>
      <x:c r="Q53" s="144"/>
      <x:c r="R53" s="144"/>
      <x:c r="S53" s="144"/>
      <x:c r="T53" s="144"/>
      <x:c r="U53" s="144"/>
      <x:c r="V53" s="144"/>
      <x:c r="W53" s="144"/>
      <x:c r="X53" s="144"/>
      <x:c r="Y53" s="144"/>
      <x:c r="Z53" s="144"/>
      <x:c r="AA53" s="655"/>
      <x:c r="AB53" s="699"/>
      <x:c r="AC53" s="2"/>
      <x:c r="AD53" s="2"/>
      <x:c r="AE53" s="2"/>
      <x:c r="AF53" s="144"/>
      <x:c r="AG53" s="144"/>
      <x:c r="AH53" s="144"/>
      <x:c r="AI53" s="144"/>
      <x:c r="AJ53" s="144"/>
      <x:c r="AK53" s="144"/>
      <x:c r="AL53" s="2"/>
      <x:c r="AM53" s="700"/>
      <x:c r="AN53" s="744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745"/>
      <x:c r="AZ53" s="2"/>
    </x:row>
    <x:row r="54" ht="13.5" customHeight="1">
      <x:c r="A54" s="2"/>
      <x:c r="B54" s="610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611"/>
      <x:c r="N54" s="654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655"/>
      <x:c r="AB54" s="699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700"/>
      <x:c r="AN54" s="744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745"/>
      <x:c r="AZ54" s="2"/>
    </x:row>
    <x:row r="55" ht="13.5" customHeight="1">
      <x:c r="A55" s="2"/>
      <x:c r="B55" s="610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611"/>
      <x:c r="N55" s="654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655"/>
      <x:c r="AB55" s="699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700"/>
      <x:c r="AN55" s="744"/>
      <x:c r="AO55" s="2"/>
      <x:c r="AP55" s="2"/>
      <x:c r="AQ55" s="2"/>
      <x:c r="AR55" s="2"/>
      <x:c r="AS55" s="806" t="str">
        <x:v>R</x:v>
      </x:c>
      <x:c r="AT55" s="806"/>
      <x:c r="AU55" s="806"/>
      <x:c r="AV55" s="806"/>
      <x:c r="AW55" s="2"/>
      <x:c r="AX55" s="2"/>
      <x:c r="AY55" s="745"/>
      <x:c r="AZ55" s="2"/>
    </x:row>
    <x:row r="56" ht="13.5" customHeight="1">
      <x:c r="A56" s="2"/>
      <x:c r="B56" s="610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611"/>
      <x:c r="N56" s="654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655"/>
      <x:c r="AB56" s="699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700"/>
      <x:c r="AN56" s="744"/>
      <x:c r="AO56" s="2"/>
      <x:c r="AP56" s="2"/>
      <x:c r="AQ56" s="2"/>
      <x:c r="AR56" s="2"/>
      <x:c r="AS56" s="806"/>
      <x:c r="AT56" s="806"/>
      <x:c r="AU56" s="806"/>
      <x:c r="AV56" s="806"/>
      <x:c r="AW56" s="2"/>
      <x:c r="AX56" s="2"/>
      <x:c r="AY56" s="745"/>
      <x:c r="AZ56" s="2"/>
    </x:row>
    <x:row r="57" ht="13.5" customHeight="1">
      <x:c r="A57" s="2"/>
      <x:c r="B57" s="610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611"/>
      <x:c r="N57" s="654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655"/>
      <x:c r="AB57" s="699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700"/>
      <x:c r="AN57" s="744"/>
      <x:c r="AO57" s="2"/>
      <x:c r="AP57" s="2"/>
      <x:c r="AQ57" s="2"/>
      <x:c r="AR57" s="2"/>
      <x:c r="AS57" s="806"/>
      <x:c r="AT57" s="806"/>
      <x:c r="AU57" s="806"/>
      <x:c r="AV57" s="806"/>
      <x:c r="AW57" s="2"/>
      <x:c r="AX57" s="2"/>
      <x:c r="AY57" s="745"/>
      <x:c r="AZ57" s="2"/>
    </x:row>
    <x:row r="58" ht="13.5" customHeight="1">
      <x:c r="A58" s="2"/>
      <x:c r="B58" s="610"/>
      <x:c r="C58" s="2"/>
      <x:c r="D58" s="2"/>
      <x:c r="E58" s="2"/>
      <x:c r="F58" s="2"/>
      <x:c r="G58" s="2"/>
      <x:c r="H58" s="405" t="str">
        <x:v>差戻し後
再入力</x:v>
      </x:c>
      <x:c r="I58" s="405"/>
      <x:c r="J58" s="405"/>
      <x:c r="K58" s="405"/>
      <x:c r="L58" s="405"/>
      <x:c r="M58" s="763"/>
      <x:c r="N58" s="764"/>
      <x:c r="O58" s="405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655"/>
      <x:c r="AB58" s="699"/>
      <x:c r="AC58" s="2"/>
      <x:c r="AD58" s="2"/>
      <x:c r="AE58" s="144" t="str">
        <x:v>GW-02
承認する？</x:v>
      </x:c>
      <x:c r="AF58" s="144"/>
      <x:c r="AG58" s="144"/>
      <x:c r="AH58" s="144"/>
      <x:c r="AI58" s="144"/>
      <x:c r="AJ58" s="144"/>
      <x:c r="AK58" s="144"/>
      <x:c r="AL58" s="144"/>
      <x:c r="AM58" s="700"/>
      <x:c r="AN58" s="744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745"/>
      <x:c r="AZ58" s="2"/>
    </x:row>
    <x:row r="59" ht="13.5" customHeight="1">
      <x:c r="A59" s="2"/>
      <x:c r="B59" s="610"/>
      <x:c r="C59" s="2"/>
      <x:c r="D59" s="2"/>
      <x:c r="E59" s="2"/>
      <x:c r="F59" s="2"/>
      <x:c r="G59" s="2"/>
      <x:c r="H59" s="405"/>
      <x:c r="I59" s="405"/>
      <x:c r="J59" s="405"/>
      <x:c r="K59" s="405"/>
      <x:c r="L59" s="405"/>
      <x:c r="M59" s="763"/>
      <x:c r="N59" s="764"/>
      <x:c r="O59" s="405"/>
      <x:c r="P59" s="144" t="str">
        <x:v>BF-06
差戻し通知
RETURNED</x:v>
      </x:c>
      <x:c r="Q59" s="144"/>
      <x:c r="R59" s="144"/>
      <x:c r="S59" s="144"/>
      <x:c r="T59" s="144"/>
      <x:c r="U59" s="144"/>
      <x:c r="V59" s="144"/>
      <x:c r="W59" s="144"/>
      <x:c r="X59" s="405" t="str">
        <x:v>差戻し</x:v>
      </x:c>
      <x:c r="Y59" s="405"/>
      <x:c r="Z59" s="405"/>
      <x:c r="AA59" s="779"/>
      <x:c r="AB59" s="780"/>
      <x:c r="AC59" s="405"/>
      <x:c r="AD59" s="405"/>
      <x:c r="AE59" s="144"/>
      <x:c r="AF59" s="144"/>
      <x:c r="AG59" s="144"/>
      <x:c r="AH59" s="144"/>
      <x:c r="AI59" s="144"/>
      <x:c r="AJ59" s="144"/>
      <x:c r="AK59" s="144"/>
      <x:c r="AL59" s="144"/>
      <x:c r="AM59" s="700"/>
      <x:c r="AN59" s="744"/>
      <x:c r="AO59" s="2"/>
      <x:c r="AP59" s="2"/>
      <x:c r="AQ59" s="2"/>
      <x:c r="AR59" s="144" t="str">
        <x:v>BF-07
仕訳連携</x:v>
      </x:c>
      <x:c r="AS59" s="144"/>
      <x:c r="AT59" s="144"/>
      <x:c r="AU59" s="144"/>
      <x:c r="AV59" s="144"/>
      <x:c r="AW59" s="144"/>
      <x:c r="AX59" s="2"/>
      <x:c r="AY59" s="745"/>
      <x:c r="AZ59" s="2"/>
    </x:row>
    <x:row r="60" ht="13.5" customHeight="1">
      <x:c r="A60" s="2"/>
      <x:c r="B60" s="610"/>
      <x:c r="C60" s="2"/>
      <x:c r="D60" s="2"/>
      <x:c r="E60" s="2"/>
      <x:c r="F60" s="2"/>
      <x:c r="G60" s="2"/>
      <x:c r="H60" s="405"/>
      <x:c r="I60" s="405"/>
      <x:c r="J60" s="405"/>
      <x:c r="K60" s="405"/>
      <x:c r="L60" s="405"/>
      <x:c r="M60" s="763"/>
      <x:c r="N60" s="764"/>
      <x:c r="O60" s="405"/>
      <x:c r="P60" s="144"/>
      <x:c r="Q60" s="144"/>
      <x:c r="R60" s="144"/>
      <x:c r="S60" s="144"/>
      <x:c r="T60" s="144"/>
      <x:c r="U60" s="144"/>
      <x:c r="V60" s="144"/>
      <x:c r="W60" s="144"/>
      <x:c r="X60" s="2"/>
      <x:c r="Y60" s="2"/>
      <x:c r="Z60" s="2"/>
      <x:c r="AA60" s="655"/>
      <x:c r="AB60" s="699"/>
      <x:c r="AC60" s="2"/>
      <x:c r="AD60" s="2"/>
      <x:c r="AE60" s="144"/>
      <x:c r="AF60" s="144"/>
      <x:c r="AG60" s="144"/>
      <x:c r="AH60" s="144"/>
      <x:c r="AI60" s="144"/>
      <x:c r="AJ60" s="144"/>
      <x:c r="AK60" s="144"/>
      <x:c r="AL60" s="144"/>
      <x:c r="AM60" s="787" t="str">
        <x:v>承認</x:v>
      </x:c>
      <x:c r="AN60" s="788"/>
      <x:c r="AO60" s="411"/>
      <x:c r="AP60" s="411"/>
      <x:c r="AQ60" s="411"/>
      <x:c r="AR60" s="144"/>
      <x:c r="AS60" s="144"/>
      <x:c r="AT60" s="144"/>
      <x:c r="AU60" s="144"/>
      <x:c r="AV60" s="144"/>
      <x:c r="AW60" s="144"/>
      <x:c r="AX60" s="2"/>
      <x:c r="AY60" s="745"/>
      <x:c r="AZ60" s="2"/>
    </x:row>
    <x:row r="61" ht="13.5" customHeight="1">
      <x:c r="A61" s="2"/>
      <x:c r="B61" s="610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611"/>
      <x:c r="N61" s="654"/>
      <x:c r="O61" s="2"/>
      <x:c r="P61" s="144"/>
      <x:c r="Q61" s="144"/>
      <x:c r="R61" s="144"/>
      <x:c r="S61" s="144"/>
      <x:c r="T61" s="144"/>
      <x:c r="U61" s="144"/>
      <x:c r="V61" s="144"/>
      <x:c r="W61" s="144"/>
      <x:c r="X61" s="2"/>
      <x:c r="Y61" s="2"/>
      <x:c r="Z61" s="2"/>
      <x:c r="AA61" s="655"/>
      <x:c r="AB61" s="699"/>
      <x:c r="AC61" s="2"/>
      <x:c r="AD61" s="2"/>
      <x:c r="AE61" s="144"/>
      <x:c r="AF61" s="144"/>
      <x:c r="AG61" s="144"/>
      <x:c r="AH61" s="144"/>
      <x:c r="AI61" s="144"/>
      <x:c r="AJ61" s="144"/>
      <x:c r="AK61" s="144"/>
      <x:c r="AL61" s="144"/>
      <x:c r="AM61" s="700"/>
      <x:c r="AN61" s="744"/>
      <x:c r="AO61" s="2"/>
      <x:c r="AP61" s="2"/>
      <x:c r="AQ61" s="2"/>
      <x:c r="AR61" s="144"/>
      <x:c r="AS61" s="144"/>
      <x:c r="AT61" s="144"/>
      <x:c r="AU61" s="144"/>
      <x:c r="AV61" s="144"/>
      <x:c r="AW61" s="144"/>
      <x:c r="AX61" s="2"/>
      <x:c r="AY61" s="745"/>
      <x:c r="AZ61" s="2"/>
    </x:row>
    <x:row r="62" ht="13.5" customHeight="1">
      <x:c r="A62" s="2"/>
      <x:c r="B62" s="610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611"/>
      <x:c r="N62" s="654"/>
      <x:c r="O62" s="2"/>
      <x:c r="P62" s="144"/>
      <x:c r="Q62" s="144"/>
      <x:c r="R62" s="144"/>
      <x:c r="S62" s="144"/>
      <x:c r="T62" s="144"/>
      <x:c r="U62" s="144"/>
      <x:c r="V62" s="144"/>
      <x:c r="W62" s="144"/>
      <x:c r="X62" s="2"/>
      <x:c r="Y62" s="2"/>
      <x:c r="Z62" s="2"/>
      <x:c r="AA62" s="655"/>
      <x:c r="AB62" s="699"/>
      <x:c r="AC62" s="2"/>
      <x:c r="AD62" s="2"/>
      <x:c r="AE62" s="144"/>
      <x:c r="AF62" s="144"/>
      <x:c r="AG62" s="144"/>
      <x:c r="AH62" s="144"/>
      <x:c r="AI62" s="144"/>
      <x:c r="AJ62" s="144"/>
      <x:c r="AK62" s="144"/>
      <x:c r="AL62" s="144"/>
      <x:c r="AM62" s="700"/>
      <x:c r="AN62" s="744"/>
      <x:c r="AO62" s="2"/>
      <x:c r="AP62" s="2"/>
      <x:c r="AQ62" s="2"/>
      <x:c r="AR62" s="144"/>
      <x:c r="AS62" s="144"/>
      <x:c r="AT62" s="144"/>
      <x:c r="AU62" s="144"/>
      <x:c r="AV62" s="144"/>
      <x:c r="AW62" s="144"/>
      <x:c r="AX62" s="2"/>
      <x:c r="AY62" s="745"/>
      <x:c r="AZ62" s="2"/>
    </x:row>
    <x:row r="63" ht="13.5" customHeight="1">
      <x:c r="A63" s="2"/>
      <x:c r="B63" s="610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611"/>
      <x:c r="N63" s="654"/>
      <x:c r="O63" s="2"/>
      <x:c r="P63" s="144"/>
      <x:c r="Q63" s="144"/>
      <x:c r="R63" s="144"/>
      <x:c r="S63" s="144"/>
      <x:c r="T63" s="144"/>
      <x:c r="U63" s="144"/>
      <x:c r="V63" s="144"/>
      <x:c r="W63" s="144"/>
      <x:c r="X63" s="2"/>
      <x:c r="Y63" s="2"/>
      <x:c r="Z63" s="2"/>
      <x:c r="AA63" s="655"/>
      <x:c r="AB63" s="699"/>
      <x:c r="AC63" s="2"/>
      <x:c r="AD63" s="2"/>
      <x:c r="AE63" s="144"/>
      <x:c r="AF63" s="144"/>
      <x:c r="AG63" s="144"/>
      <x:c r="AH63" s="144"/>
      <x:c r="AI63" s="144"/>
      <x:c r="AJ63" s="144"/>
      <x:c r="AK63" s="144"/>
      <x:c r="AL63" s="144"/>
      <x:c r="AM63" s="700"/>
      <x:c r="AN63" s="744"/>
      <x:c r="AO63" s="2"/>
      <x:c r="AP63" s="2"/>
      <x:c r="AQ63" s="2"/>
      <x:c r="AR63" s="144"/>
      <x:c r="AS63" s="144"/>
      <x:c r="AT63" s="144"/>
      <x:c r="AU63" s="144"/>
      <x:c r="AV63" s="144"/>
      <x:c r="AW63" s="144"/>
      <x:c r="AX63" s="2"/>
      <x:c r="AY63" s="745"/>
      <x:c r="AZ63" s="2"/>
    </x:row>
    <x:row r="64" ht="13.5" customHeight="1">
      <x:c r="A64" s="2"/>
      <x:c r="B64" s="610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611"/>
      <x:c r="N64" s="654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655"/>
      <x:c r="AB64" s="699"/>
      <x:c r="AC64" s="2"/>
      <x:c r="AD64" s="2"/>
      <x:c r="AE64" s="144"/>
      <x:c r="AF64" s="144"/>
      <x:c r="AG64" s="144"/>
      <x:c r="AH64" s="144"/>
      <x:c r="AI64" s="144"/>
      <x:c r="AJ64" s="144"/>
      <x:c r="AK64" s="144"/>
      <x:c r="AL64" s="144"/>
      <x:c r="AM64" s="700"/>
      <x:c r="AN64" s="744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745"/>
      <x:c r="AZ64" s="2"/>
    </x:row>
    <x:row r="65" ht="13.5" customHeight="1">
      <x:c r="A65" s="2"/>
      <x:c r="B65" s="610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611"/>
      <x:c r="N65" s="654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655"/>
      <x:c r="AB65" s="699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700"/>
      <x:c r="AN65" s="744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745"/>
      <x:c r="AZ65" s="2"/>
    </x:row>
    <x:row r="66" ht="13.5" customHeight="1">
      <x:c r="A66" s="2"/>
      <x:c r="B66" s="610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611"/>
      <x:c r="N66" s="654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655"/>
      <x:c r="AB66" s="699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700"/>
      <x:c r="AN66" s="744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745"/>
      <x:c r="AZ66" s="2"/>
    </x:row>
    <x:row r="67" ht="13.5" customHeight="1">
      <x:c r="A67" s="2"/>
      <x:c r="B67" s="610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611"/>
      <x:c r="N67" s="654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655"/>
      <x:c r="AB67" s="699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700"/>
      <x:c r="AN67" s="744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745"/>
      <x:c r="AZ67" s="2"/>
    </x:row>
    <x:row r="68" ht="13.5" customHeight="1">
      <x:c r="A68" s="2"/>
      <x:c r="B68" s="610"/>
      <x:c r="C68" s="2"/>
      <x:c r="D68" s="2"/>
      <x:c r="E68" s="2"/>
      <x:c r="F68" s="2"/>
      <x:c r="G68" s="2"/>
      <x:c r="H68" s="2"/>
      <x:c r="I68" s="2"/>
      <x:c r="J68" s="2"/>
      <x:c r="K68" s="2"/>
      <x:c r="L68" s="152" t="str">
        <x:v>再送継続</x:v>
      </x:c>
      <x:c r="M68" s="815"/>
      <x:c r="N68" s="816"/>
      <x:c r="O68" s="152"/>
      <x:c r="P68" s="15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655"/>
      <x:c r="AB68" s="699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700"/>
      <x:c r="AN68" s="744"/>
      <x:c r="AO68" s="2"/>
      <x:c r="AP68" s="2"/>
      <x:c r="AQ68" s="144" t="str">
        <x:v>GW-03
連携成功？</x:v>
      </x:c>
      <x:c r="AR68" s="144"/>
      <x:c r="AS68" s="144"/>
      <x:c r="AT68" s="144"/>
      <x:c r="AU68" s="144"/>
      <x:c r="AV68" s="144"/>
      <x:c r="AW68" s="144"/>
      <x:c r="AX68" s="144"/>
      <x:c r="AY68" s="745"/>
      <x:c r="AZ68" s="2"/>
    </x:row>
    <x:row r="69" ht="13.5" customHeight="1">
      <x:c r="A69" s="2"/>
      <x:c r="B69" s="610"/>
      <x:c r="C69" s="2"/>
      <x:c r="D69" s="2"/>
      <x:c r="E69" s="2"/>
      <x:c r="F69" s="2"/>
      <x:c r="G69" s="2"/>
      <x:c r="H69" s="2"/>
      <x:c r="I69" s="2"/>
      <x:c r="J69" s="2"/>
      <x:c r="K69" s="2"/>
      <x:c r="L69" s="152"/>
      <x:c r="M69" s="815"/>
      <x:c r="N69" s="816"/>
      <x:c r="O69" s="152"/>
      <x:c r="P69" s="152"/>
      <x:c r="Q69" s="144" t="str">
        <x:v>BF-08 再送キュー
1/5/30/120/600秒</x:v>
      </x:c>
      <x:c r="R69" s="144"/>
      <x:c r="S69" s="144"/>
      <x:c r="T69" s="144"/>
      <x:c r="U69" s="144"/>
      <x:c r="V69" s="144"/>
      <x:c r="W69" s="144"/>
      <x:c r="X69" s="144"/>
      <x:c r="Y69" s="405" t="str">
        <x:v>失敗：リトライ登録</x:v>
      </x:c>
      <x:c r="Z69" s="405"/>
      <x:c r="AA69" s="779"/>
      <x:c r="AB69" s="780"/>
      <x:c r="AC69" s="405"/>
      <x:c r="AD69" s="405"/>
      <x:c r="AE69" s="405"/>
      <x:c r="AF69" s="405"/>
      <x:c r="AG69" s="405"/>
      <x:c r="AH69" s="405"/>
      <x:c r="AI69" s="405"/>
      <x:c r="AJ69" s="405"/>
      <x:c r="AK69" s="405"/>
      <x:c r="AL69" s="405"/>
      <x:c r="AM69" s="795"/>
      <x:c r="AN69" s="796"/>
      <x:c r="AO69" s="405"/>
      <x:c r="AP69" s="405"/>
      <x:c r="AQ69" s="144"/>
      <x:c r="AR69" s="144"/>
      <x:c r="AS69" s="144"/>
      <x:c r="AT69" s="144"/>
      <x:c r="AU69" s="144"/>
      <x:c r="AV69" s="144"/>
      <x:c r="AW69" s="144"/>
      <x:c r="AX69" s="144"/>
      <x:c r="AY69" s="745"/>
      <x:c r="AZ69" s="2"/>
    </x:row>
    <x:row r="70" ht="13.5" customHeight="1">
      <x:c r="A70" s="2"/>
      <x:c r="B70" s="610"/>
      <x:c r="C70" s="2"/>
      <x:c r="D70" s="2"/>
      <x:c r="E70" s="2"/>
      <x:c r="F70" s="2"/>
      <x:c r="G70" s="2"/>
      <x:c r="H70" s="2"/>
      <x:c r="I70" s="2"/>
      <x:c r="J70" s="2"/>
      <x:c r="K70" s="2"/>
      <x:c r="L70" s="806" t="str">
        <x:v>R</x:v>
      </x:c>
      <x:c r="M70" s="807"/>
      <x:c r="N70" s="808"/>
      <x:c r="O70" s="806"/>
      <x:c r="P70" s="2"/>
      <x:c r="Q70" s="144"/>
      <x:c r="R70" s="144"/>
      <x:c r="S70" s="144"/>
      <x:c r="T70" s="144"/>
      <x:c r="U70" s="144"/>
      <x:c r="V70" s="144"/>
      <x:c r="W70" s="144"/>
      <x:c r="X70" s="144"/>
      <x:c r="Y70" s="2"/>
      <x:c r="Z70" s="2"/>
      <x:c r="AA70" s="655"/>
      <x:c r="AB70" s="699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700"/>
      <x:c r="AN70" s="744"/>
      <x:c r="AO70" s="2"/>
      <x:c r="AP70" s="2"/>
      <x:c r="AQ70" s="144"/>
      <x:c r="AR70" s="144"/>
      <x:c r="AS70" s="144"/>
      <x:c r="AT70" s="144"/>
      <x:c r="AU70" s="144"/>
      <x:c r="AV70" s="144"/>
      <x:c r="AW70" s="144"/>
      <x:c r="AX70" s="144"/>
      <x:c r="AY70" s="745"/>
      <x:c r="AZ70" s="2"/>
    </x:row>
    <x:row r="71" ht="13.5" customHeight="1">
      <x:c r="A71" s="2"/>
      <x:c r="B71" s="610"/>
      <x:c r="C71" s="2"/>
      <x:c r="D71" s="2"/>
      <x:c r="E71" s="2"/>
      <x:c r="F71" s="2"/>
      <x:c r="G71" s="2"/>
      <x:c r="H71" s="2"/>
      <x:c r="I71" s="2"/>
      <x:c r="J71" s="2"/>
      <x:c r="K71" s="2"/>
      <x:c r="L71" s="806"/>
      <x:c r="M71" s="807"/>
      <x:c r="N71" s="808"/>
      <x:c r="O71" s="806"/>
      <x:c r="P71" s="2"/>
      <x:c r="Q71" s="144"/>
      <x:c r="R71" s="144"/>
      <x:c r="S71" s="144"/>
      <x:c r="T71" s="144"/>
      <x:c r="U71" s="144"/>
      <x:c r="V71" s="144"/>
      <x:c r="W71" s="144"/>
      <x:c r="X71" s="144"/>
      <x:c r="Y71" s="2"/>
      <x:c r="Z71" s="2"/>
      <x:c r="AA71" s="655"/>
      <x:c r="AB71" s="699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700"/>
      <x:c r="AN71" s="744"/>
      <x:c r="AO71" s="2"/>
      <x:c r="AP71" s="2"/>
      <x:c r="AQ71" s="144"/>
      <x:c r="AR71" s="144"/>
      <x:c r="AS71" s="144"/>
      <x:c r="AT71" s="144"/>
      <x:c r="AU71" s="144"/>
      <x:c r="AV71" s="144"/>
      <x:c r="AW71" s="144"/>
      <x:c r="AX71" s="144"/>
      <x:c r="AY71" s="745"/>
      <x:c r="AZ71" s="2"/>
    </x:row>
    <x:row r="72" ht="13.5" customHeight="1">
      <x:c r="A72" s="2"/>
      <x:c r="B72" s="610"/>
      <x:c r="C72" s="2"/>
      <x:c r="D72" s="2"/>
      <x:c r="E72" s="2"/>
      <x:c r="F72" s="2"/>
      <x:c r="G72" s="2"/>
      <x:c r="H72" s="2"/>
      <x:c r="I72" s="2"/>
      <x:c r="J72" s="2"/>
      <x:c r="K72" s="2"/>
      <x:c r="L72" s="806"/>
      <x:c r="M72" s="807"/>
      <x:c r="N72" s="808"/>
      <x:c r="O72" s="806"/>
      <x:c r="P72" s="2"/>
      <x:c r="Q72" s="144"/>
      <x:c r="R72" s="144"/>
      <x:c r="S72" s="144"/>
      <x:c r="T72" s="144"/>
      <x:c r="U72" s="144"/>
      <x:c r="V72" s="144"/>
      <x:c r="W72" s="144"/>
      <x:c r="X72" s="144"/>
      <x:c r="Y72" s="2"/>
      <x:c r="Z72" s="2"/>
      <x:c r="AA72" s="655"/>
      <x:c r="AB72" s="699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700"/>
      <x:c r="AN72" s="744"/>
      <x:c r="AO72" s="2"/>
      <x:c r="AP72" s="2"/>
      <x:c r="AQ72" s="144"/>
      <x:c r="AR72" s="144"/>
      <x:c r="AS72" s="144"/>
      <x:c r="AT72" s="144"/>
      <x:c r="AU72" s="144"/>
      <x:c r="AV72" s="144"/>
      <x:c r="AW72" s="144"/>
      <x:c r="AX72" s="144"/>
      <x:c r="AY72" s="745"/>
      <x:c r="AZ72" s="2"/>
    </x:row>
    <x:row r="73" ht="13.5" customHeight="1">
      <x:c r="A73" s="2"/>
      <x:c r="B73" s="610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611"/>
      <x:c r="N73" s="654"/>
      <x:c r="O73" s="2"/>
      <x:c r="P73" s="2"/>
      <x:c r="Q73" s="144"/>
      <x:c r="R73" s="144"/>
      <x:c r="S73" s="144"/>
      <x:c r="T73" s="144"/>
      <x:c r="U73" s="144"/>
      <x:c r="V73" s="144"/>
      <x:c r="W73" s="144"/>
      <x:c r="X73" s="144"/>
      <x:c r="Y73" s="2"/>
      <x:c r="Z73" s="2"/>
      <x:c r="AA73" s="655"/>
      <x:c r="AB73" s="699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700"/>
      <x:c r="AN73" s="744"/>
      <x:c r="AO73" s="2"/>
      <x:c r="AP73" s="2"/>
      <x:c r="AQ73" s="144"/>
      <x:c r="AR73" s="144"/>
      <x:c r="AS73" s="144"/>
      <x:c r="AT73" s="144"/>
      <x:c r="AU73" s="144"/>
      <x:c r="AV73" s="144"/>
      <x:c r="AW73" s="144"/>
      <x:c r="AX73" s="144"/>
      <x:c r="AY73" s="745"/>
      <x:c r="AZ73" s="2"/>
    </x:row>
    <x:row r="74" ht="13.5" customHeight="1">
      <x:c r="A74" s="2"/>
      <x:c r="B74" s="610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611"/>
      <x:c r="N74" s="654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655"/>
      <x:c r="AB74" s="699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700"/>
      <x:c r="AN74" s="744"/>
      <x:c r="AO74" s="2"/>
      <x:c r="AP74" s="2"/>
      <x:c r="AQ74" s="144"/>
      <x:c r="AR74" s="144"/>
      <x:c r="AS74" s="144"/>
      <x:c r="AT74" s="144"/>
      <x:c r="AU74" s="144"/>
      <x:c r="AV74" s="144"/>
      <x:c r="AW74" s="144"/>
      <x:c r="AX74" s="144"/>
      <x:c r="AY74" s="745"/>
      <x:c r="AZ74" s="2"/>
    </x:row>
    <x:row r="75" ht="13.5" customHeight="1">
      <x:c r="A75" s="2"/>
      <x:c r="B75" s="610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611"/>
      <x:c r="N75" s="654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655"/>
      <x:c r="AB75" s="699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700"/>
      <x:c r="AN75" s="744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745"/>
      <x:c r="AZ75" s="2"/>
    </x:row>
    <x:row r="76" ht="13.5" customHeight="1">
      <x:c r="A76" s="2"/>
      <x:c r="B76" s="610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611"/>
      <x:c r="N76" s="654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655"/>
      <x:c r="AB76" s="699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700"/>
      <x:c r="AN76" s="744"/>
      <x:c r="AO76" s="2"/>
      <x:c r="AP76" s="2"/>
      <x:c r="AQ76" s="2"/>
      <x:c r="AR76" s="2"/>
      <x:c r="AS76" s="2"/>
      <x:c r="AT76" s="2"/>
      <x:c r="AU76" s="156" t="str">
        <x:v>成功</x:v>
      </x:c>
      <x:c r="AV76" s="156"/>
      <x:c r="AW76" s="156"/>
      <x:c r="AX76" s="156"/>
      <x:c r="AY76" s="745"/>
      <x:c r="AZ76" s="2"/>
    </x:row>
    <x:row r="77" ht="13.5" customHeight="1">
      <x:c r="A77" s="2"/>
      <x:c r="B77" s="610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611"/>
      <x:c r="N77" s="654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655"/>
      <x:c r="AB77" s="699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700"/>
      <x:c r="AN77" s="744"/>
      <x:c r="AO77" s="2"/>
      <x:c r="AP77" s="2"/>
      <x:c r="AQ77" s="2"/>
      <x:c r="AR77" s="2"/>
      <x:c r="AS77" s="2"/>
      <x:c r="AT77" s="2"/>
      <x:c r="AU77" s="156"/>
      <x:c r="AV77" s="156"/>
      <x:c r="AW77" s="156"/>
      <x:c r="AX77" s="156"/>
      <x:c r="AY77" s="745"/>
      <x:c r="AZ77" s="2"/>
    </x:row>
    <x:row r="78" ht="13.5" customHeight="1">
      <x:c r="A78" s="2"/>
      <x:c r="B78" s="610"/>
      <x:c r="C78" s="2"/>
      <x:c r="D78" s="2"/>
      <x:c r="E78" s="403" t="str">
        <x:v>BF-99
終了</x:v>
      </x:c>
      <x:c r="F78" s="403"/>
      <x:c r="G78" s="403"/>
      <x:c r="H78" s="403"/>
      <x:c r="I78" s="403"/>
      <x:c r="J78" s="403"/>
      <x:c r="K78" s="411" t="str">
        <x:v>完了通知</x:v>
      </x:c>
      <x:c r="L78" s="411"/>
      <x:c r="M78" s="831"/>
      <x:c r="N78" s="832"/>
      <x:c r="O78" s="411"/>
      <x:c r="P78" s="411"/>
      <x:c r="Q78" s="144" t="str">
        <x:v>BF-10 支払済更新
監査ログ・完了通知</x:v>
      </x:c>
      <x:c r="R78" s="144"/>
      <x:c r="S78" s="144"/>
      <x:c r="T78" s="144"/>
      <x:c r="U78" s="144"/>
      <x:c r="V78" s="144"/>
      <x:c r="W78" s="144"/>
      <x:c r="X78" s="144"/>
      <x:c r="Y78" s="411" t="str">
        <x:v>支払結果</x:v>
      </x:c>
      <x:c r="Z78" s="411"/>
      <x:c r="AA78" s="823"/>
      <x:c r="AB78" s="824"/>
      <x:c r="AC78" s="411"/>
      <x:c r="AD78" s="411"/>
      <x:c r="AE78" s="411"/>
      <x:c r="AF78" s="411"/>
      <x:c r="AG78" s="411"/>
      <x:c r="AH78" s="411"/>
      <x:c r="AI78" s="411"/>
      <x:c r="AJ78" s="411"/>
      <x:c r="AK78" s="411"/>
      <x:c r="AL78" s="411"/>
      <x:c r="AM78" s="787"/>
      <x:c r="AN78" s="788"/>
      <x:c r="AO78" s="411"/>
      <x:c r="AP78" s="411"/>
      <x:c r="AQ78" s="144" t="str">
        <x:v>BF-09
支払処理</x:v>
      </x:c>
      <x:c r="AR78" s="144"/>
      <x:c r="AS78" s="144"/>
      <x:c r="AT78" s="144"/>
      <x:c r="AU78" s="144"/>
      <x:c r="AV78" s="144"/>
      <x:c r="AW78" s="144"/>
      <x:c r="AX78" s="144"/>
      <x:c r="AY78" s="745"/>
      <x:c r="AZ78" s="2"/>
    </x:row>
    <x:row r="79" ht="13.5" customHeight="1">
      <x:c r="A79" s="2"/>
      <x:c r="B79" s="610"/>
      <x:c r="C79" s="2"/>
      <x:c r="D79" s="2"/>
      <x:c r="E79" s="403"/>
      <x:c r="F79" s="403"/>
      <x:c r="G79" s="403"/>
      <x:c r="H79" s="403"/>
      <x:c r="I79" s="403"/>
      <x:c r="J79" s="403"/>
      <x:c r="K79" s="2"/>
      <x:c r="L79" s="2"/>
      <x:c r="M79" s="611"/>
      <x:c r="N79" s="654"/>
      <x:c r="O79" s="2"/>
      <x:c r="P79" s="2"/>
      <x:c r="Q79" s="144"/>
      <x:c r="R79" s="144"/>
      <x:c r="S79" s="144"/>
      <x:c r="T79" s="144"/>
      <x:c r="U79" s="144"/>
      <x:c r="V79" s="144"/>
      <x:c r="W79" s="144"/>
      <x:c r="X79" s="144"/>
      <x:c r="Y79" s="2"/>
      <x:c r="Z79" s="2"/>
      <x:c r="AA79" s="655"/>
      <x:c r="AB79" s="699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700"/>
      <x:c r="AN79" s="744"/>
      <x:c r="AO79" s="2"/>
      <x:c r="AP79" s="2"/>
      <x:c r="AQ79" s="144"/>
      <x:c r="AR79" s="144"/>
      <x:c r="AS79" s="144"/>
      <x:c r="AT79" s="144"/>
      <x:c r="AU79" s="144"/>
      <x:c r="AV79" s="144"/>
      <x:c r="AW79" s="144"/>
      <x:c r="AX79" s="144"/>
      <x:c r="AY79" s="745"/>
      <x:c r="AZ79" s="2"/>
    </x:row>
    <x:row r="80" ht="13.5" customHeight="1">
      <x:c r="A80" s="2"/>
      <x:c r="B80" s="610"/>
      <x:c r="C80" s="2"/>
      <x:c r="D80" s="2"/>
      <x:c r="E80" s="403"/>
      <x:c r="F80" s="403"/>
      <x:c r="G80" s="403"/>
      <x:c r="H80" s="403"/>
      <x:c r="I80" s="403"/>
      <x:c r="J80" s="403"/>
      <x:c r="K80" s="2"/>
      <x:c r="L80" s="2"/>
      <x:c r="M80" s="611"/>
      <x:c r="N80" s="654"/>
      <x:c r="O80" s="2"/>
      <x:c r="P80" s="2"/>
      <x:c r="Q80" s="144"/>
      <x:c r="R80" s="144"/>
      <x:c r="S80" s="144"/>
      <x:c r="T80" s="144"/>
      <x:c r="U80" s="144"/>
      <x:c r="V80" s="144"/>
      <x:c r="W80" s="144"/>
      <x:c r="X80" s="144"/>
      <x:c r="Y80" s="2"/>
      <x:c r="Z80" s="2"/>
      <x:c r="AA80" s="655"/>
      <x:c r="AB80" s="699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700"/>
      <x:c r="AN80" s="744"/>
      <x:c r="AO80" s="2"/>
      <x:c r="AP80" s="2"/>
      <x:c r="AQ80" s="144"/>
      <x:c r="AR80" s="144"/>
      <x:c r="AS80" s="144"/>
      <x:c r="AT80" s="144"/>
      <x:c r="AU80" s="144"/>
      <x:c r="AV80" s="144"/>
      <x:c r="AW80" s="144"/>
      <x:c r="AX80" s="144"/>
      <x:c r="AY80" s="745"/>
      <x:c r="AZ80" s="2"/>
    </x:row>
    <x:row r="81" ht="13.5" customHeight="1">
      <x:c r="A81" s="2"/>
      <x:c r="B81" s="610"/>
      <x:c r="C81" s="2"/>
      <x:c r="D81" s="2"/>
      <x:c r="E81" s="403"/>
      <x:c r="F81" s="403"/>
      <x:c r="G81" s="403"/>
      <x:c r="H81" s="403"/>
      <x:c r="I81" s="403"/>
      <x:c r="J81" s="403"/>
      <x:c r="K81" s="2"/>
      <x:c r="L81" s="2"/>
      <x:c r="M81" s="611"/>
      <x:c r="N81" s="654"/>
      <x:c r="O81" s="2"/>
      <x:c r="P81" s="2"/>
      <x:c r="Q81" s="144"/>
      <x:c r="R81" s="144"/>
      <x:c r="S81" s="144"/>
      <x:c r="T81" s="144"/>
      <x:c r="U81" s="144"/>
      <x:c r="V81" s="144"/>
      <x:c r="W81" s="144"/>
      <x:c r="X81" s="144"/>
      <x:c r="Y81" s="2"/>
      <x:c r="Z81" s="2"/>
      <x:c r="AA81" s="655"/>
      <x:c r="AB81" s="699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700"/>
      <x:c r="AN81" s="744"/>
      <x:c r="AO81" s="2"/>
      <x:c r="AP81" s="2"/>
      <x:c r="AQ81" s="144"/>
      <x:c r="AR81" s="144"/>
      <x:c r="AS81" s="144"/>
      <x:c r="AT81" s="144"/>
      <x:c r="AU81" s="144"/>
      <x:c r="AV81" s="144"/>
      <x:c r="AW81" s="144"/>
      <x:c r="AX81" s="144"/>
      <x:c r="AY81" s="745"/>
      <x:c r="AZ81" s="2"/>
    </x:row>
    <x:row r="82" ht="13.5" customHeight="1">
      <x:c r="A82" s="2"/>
      <x:c r="B82" s="610"/>
      <x:c r="C82" s="2"/>
      <x:c r="D82" s="2"/>
      <x:c r="E82" s="403"/>
      <x:c r="F82" s="403"/>
      <x:c r="G82" s="403"/>
      <x:c r="H82" s="403"/>
      <x:c r="I82" s="403"/>
      <x:c r="J82" s="403"/>
      <x:c r="K82" s="2"/>
      <x:c r="L82" s="2"/>
      <x:c r="M82" s="611"/>
      <x:c r="N82" s="654"/>
      <x:c r="O82" s="2"/>
      <x:c r="P82" s="2"/>
      <x:c r="Q82" s="144"/>
      <x:c r="R82" s="144"/>
      <x:c r="S82" s="144"/>
      <x:c r="T82" s="144"/>
      <x:c r="U82" s="144"/>
      <x:c r="V82" s="144"/>
      <x:c r="W82" s="144"/>
      <x:c r="X82" s="144"/>
      <x:c r="Y82" s="2"/>
      <x:c r="Z82" s="2"/>
      <x:c r="AA82" s="655"/>
      <x:c r="AB82" s="699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700"/>
      <x:c r="AN82" s="744"/>
      <x:c r="AO82" s="2"/>
      <x:c r="AP82" s="2"/>
      <x:c r="AQ82" s="144"/>
      <x:c r="AR82" s="144"/>
      <x:c r="AS82" s="144"/>
      <x:c r="AT82" s="144"/>
      <x:c r="AU82" s="144"/>
      <x:c r="AV82" s="144"/>
      <x:c r="AW82" s="144"/>
      <x:c r="AX82" s="144"/>
      <x:c r="AY82" s="745"/>
      <x:c r="AZ82" s="2"/>
    </x:row>
    <x:row r="83" ht="13.5" customHeight="1">
      <x:c r="A83" s="2"/>
      <x:c r="B83" s="610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611"/>
      <x:c r="N83" s="654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655"/>
      <x:c r="AB83" s="699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700"/>
      <x:c r="AN83" s="744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745"/>
      <x:c r="AZ83" s="2"/>
    </x:row>
    <x:row r="84" ht="13.5" customHeight="1">
      <x:c r="A84" s="2"/>
      <x:c r="B84" s="610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611"/>
      <x:c r="N84" s="654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655"/>
      <x:c r="AB84" s="699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700"/>
      <x:c r="AN84" s="744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745"/>
      <x:c r="AZ84" s="2"/>
    </x:row>
    <x:row r="85" ht="13.5" customHeight="1">
      <x:c r="A85" s="2"/>
      <x:c r="B85" s="197" t="str">
        <x:v>補足：Rは同一ページ内の再送経路コネクタ。失敗時は指数バックオフで最大5回再送し、恒久失敗はデッドレター化して経理担当者へアラートを送る。</x:v>
      </x:c>
      <x:c r="C85" s="198"/>
      <x:c r="D85" s="198"/>
      <x:c r="E85" s="198"/>
      <x:c r="F85" s="198"/>
      <x:c r="G85" s="198"/>
      <x:c r="H85" s="198"/>
      <x:c r="I85" s="198"/>
      <x:c r="J85" s="198"/>
      <x:c r="K85" s="198"/>
      <x:c r="L85" s="198"/>
      <x:c r="M85" s="896"/>
      <x:c r="N85" s="897"/>
      <x:c r="O85" s="198"/>
      <x:c r="P85" s="198"/>
      <x:c r="Q85" s="198"/>
      <x:c r="R85" s="198"/>
      <x:c r="S85" s="198"/>
      <x:c r="T85" s="198"/>
      <x:c r="U85" s="198"/>
      <x:c r="V85" s="198"/>
      <x:c r="W85" s="198"/>
      <x:c r="X85" s="198"/>
      <x:c r="Y85" s="198"/>
      <x:c r="Z85" s="198"/>
      <x:c r="AA85" s="898"/>
      <x:c r="AB85" s="197"/>
      <x:c r="AC85" s="198"/>
      <x:c r="AD85" s="198"/>
      <x:c r="AE85" s="198"/>
      <x:c r="AF85" s="198"/>
      <x:c r="AG85" s="198"/>
      <x:c r="AH85" s="198"/>
      <x:c r="AI85" s="198"/>
      <x:c r="AJ85" s="198"/>
      <x:c r="AK85" s="198"/>
      <x:c r="AL85" s="198"/>
      <x:c r="AM85" s="199"/>
      <x:c r="AN85" s="899"/>
      <x:c r="AO85" s="198"/>
      <x:c r="AP85" s="198"/>
      <x:c r="AQ85" s="198"/>
      <x:c r="AR85" s="198"/>
      <x:c r="AS85" s="198"/>
      <x:c r="AT85" s="198"/>
      <x:c r="AU85" s="198"/>
      <x:c r="AV85" s="198"/>
      <x:c r="AW85" s="198"/>
      <x:c r="AX85" s="199"/>
      <x:c r="AY85" s="745"/>
      <x:c r="AZ85" s="2"/>
    </x:row>
    <x:row r="86" ht="13.5" customHeight="1">
      <x:c r="A86" s="2"/>
      <x:c r="B86" s="200"/>
      <x:c r="C86" s="201"/>
      <x:c r="D86" s="201"/>
      <x:c r="E86" s="201"/>
      <x:c r="F86" s="201"/>
      <x:c r="G86" s="201"/>
      <x:c r="H86" s="201"/>
      <x:c r="I86" s="201"/>
      <x:c r="J86" s="201"/>
      <x:c r="K86" s="201"/>
      <x:c r="L86" s="201"/>
      <x:c r="M86" s="900"/>
      <x:c r="N86" s="901"/>
      <x:c r="O86" s="201"/>
      <x:c r="P86" s="201"/>
      <x:c r="Q86" s="201"/>
      <x:c r="R86" s="201"/>
      <x:c r="S86" s="201"/>
      <x:c r="T86" s="201"/>
      <x:c r="U86" s="201"/>
      <x:c r="V86" s="201"/>
      <x:c r="W86" s="201"/>
      <x:c r="X86" s="201"/>
      <x:c r="Y86" s="201"/>
      <x:c r="Z86" s="201"/>
      <x:c r="AA86" s="902"/>
      <x:c r="AB86" s="200"/>
      <x:c r="AC86" s="201"/>
      <x:c r="AD86" s="201"/>
      <x:c r="AE86" s="201"/>
      <x:c r="AF86" s="201"/>
      <x:c r="AG86" s="201"/>
      <x:c r="AH86" s="201"/>
      <x:c r="AI86" s="201"/>
      <x:c r="AJ86" s="201"/>
      <x:c r="AK86" s="201"/>
      <x:c r="AL86" s="201"/>
      <x:c r="AM86" s="202"/>
      <x:c r="AN86" s="903"/>
      <x:c r="AO86" s="201"/>
      <x:c r="AP86" s="201"/>
      <x:c r="AQ86" s="201"/>
      <x:c r="AR86" s="201"/>
      <x:c r="AS86" s="201"/>
      <x:c r="AT86" s="201"/>
      <x:c r="AU86" s="201"/>
      <x:c r="AV86" s="201"/>
      <x:c r="AW86" s="201"/>
      <x:c r="AX86" s="202"/>
      <x:c r="AY86" s="745"/>
      <x:c r="AZ86" s="2"/>
    </x:row>
    <x:row r="87" ht="13.5" customHeight="1">
      <x:c r="A87" s="2"/>
      <x:c r="B87" s="203"/>
      <x:c r="C87" s="204"/>
      <x:c r="D87" s="204"/>
      <x:c r="E87" s="204"/>
      <x:c r="F87" s="204"/>
      <x:c r="G87" s="204"/>
      <x:c r="H87" s="204"/>
      <x:c r="I87" s="204"/>
      <x:c r="J87" s="204"/>
      <x:c r="K87" s="204"/>
      <x:c r="L87" s="204"/>
      <x:c r="M87" s="904"/>
      <x:c r="N87" s="905"/>
      <x:c r="O87" s="204"/>
      <x:c r="P87" s="204"/>
      <x:c r="Q87" s="204"/>
      <x:c r="R87" s="204"/>
      <x:c r="S87" s="204"/>
      <x:c r="T87" s="204"/>
      <x:c r="U87" s="204"/>
      <x:c r="V87" s="204"/>
      <x:c r="W87" s="204"/>
      <x:c r="X87" s="204"/>
      <x:c r="Y87" s="204"/>
      <x:c r="Z87" s="204"/>
      <x:c r="AA87" s="906"/>
      <x:c r="AB87" s="203"/>
      <x:c r="AC87" s="204"/>
      <x:c r="AD87" s="204"/>
      <x:c r="AE87" s="204"/>
      <x:c r="AF87" s="204"/>
      <x:c r="AG87" s="204"/>
      <x:c r="AH87" s="204"/>
      <x:c r="AI87" s="204"/>
      <x:c r="AJ87" s="204"/>
      <x:c r="AK87" s="204"/>
      <x:c r="AL87" s="204"/>
      <x:c r="AM87" s="205"/>
      <x:c r="AN87" s="907"/>
      <x:c r="AO87" s="204"/>
      <x:c r="AP87" s="204"/>
      <x:c r="AQ87" s="204"/>
      <x:c r="AR87" s="204"/>
      <x:c r="AS87" s="204"/>
      <x:c r="AT87" s="204"/>
      <x:c r="AU87" s="204"/>
      <x:c r="AV87" s="204"/>
      <x:c r="AW87" s="204"/>
      <x:c r="AX87" s="205"/>
      <x:c r="AY87" s="748"/>
      <x:c r="AZ87" s="2"/>
    </x:row>
    <x:row r="88" ht="13.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 ht="13.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 ht="13.5" customHeight="1">
      <x:c r="A90" s="2"/>
      <x:c r="B90" s="77" t="str">
        <x:v>4.2 業務ルール・責任分界</x:v>
      </x:c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78"/>
      <x:c r="U90" s="78"/>
      <x:c r="V90" s="78"/>
      <x:c r="W90" s="78"/>
      <x:c r="X90" s="78"/>
      <x:c r="Y90" s="78"/>
      <x:c r="Z90" s="78"/>
      <x:c r="AA90" s="78"/>
      <x:c r="AB90" s="78"/>
      <x:c r="AC90" s="78"/>
      <x:c r="AD90" s="78"/>
      <x:c r="AE90" s="78"/>
      <x:c r="AF90" s="78"/>
      <x:c r="AG90" s="78"/>
      <x:c r="AH90" s="78"/>
      <x:c r="AI90" s="78"/>
      <x:c r="AJ90" s="78"/>
      <x:c r="AK90" s="78"/>
      <x:c r="AL90" s="78"/>
      <x:c r="AM90" s="78"/>
      <x:c r="AN90" s="78"/>
      <x:c r="AO90" s="78"/>
      <x:c r="AP90" s="78"/>
      <x:c r="AQ90" s="78"/>
      <x:c r="AR90" s="78"/>
      <x:c r="AS90" s="78"/>
      <x:c r="AT90" s="78"/>
      <x:c r="AU90" s="78"/>
      <x:c r="AV90" s="78"/>
      <x:c r="AW90" s="78"/>
      <x:c r="AX90" s="79"/>
      <x:c r="AY90" s="2"/>
      <x:c r="AZ90" s="2"/>
    </x:row>
    <x:row r="91" ht="13.5" customHeight="1">
      <x:c r="A91" s="2"/>
      <x:c r="B91" s="80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  <x:c r="AA91" s="81"/>
      <x:c r="AB91" s="81"/>
      <x:c r="AC91" s="81"/>
      <x:c r="AD91" s="81"/>
      <x:c r="AE91" s="81"/>
      <x:c r="AF91" s="81"/>
      <x:c r="AG91" s="81"/>
      <x:c r="AH91" s="81"/>
      <x:c r="AI91" s="81"/>
      <x:c r="AJ91" s="81"/>
      <x:c r="AK91" s="81"/>
      <x:c r="AL91" s="81"/>
      <x:c r="AM91" s="81"/>
      <x:c r="AN91" s="81"/>
      <x:c r="AO91" s="81"/>
      <x:c r="AP91" s="81"/>
      <x:c r="AQ91" s="81"/>
      <x:c r="AR91" s="81"/>
      <x:c r="AS91" s="81"/>
      <x:c r="AT91" s="81"/>
      <x:c r="AU91" s="81"/>
      <x:c r="AV91" s="81"/>
      <x:c r="AW91" s="81"/>
      <x:c r="AX91" s="82"/>
      <x:c r="AY91" s="2"/>
      <x:c r="AZ91" s="2"/>
    </x:row>
    <x:row r="92" ht="13.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 ht="13.5" customHeight="1">
      <x:c r="A93" s="2"/>
      <x:c r="B93" s="127" t="str">
        <x:v>ルールID</x:v>
      </x:c>
      <x:c r="C93" s="127"/>
      <x:c r="D93" s="127"/>
      <x:c r="E93" s="127"/>
      <x:c r="F93" s="127"/>
      <x:c r="G93" s="127"/>
      <x:c r="H93" s="127" t="str">
        <x:v>条件／判断</x:v>
      </x:c>
      <x:c r="I93" s="127"/>
      <x:c r="J93" s="127"/>
      <x:c r="K93" s="127"/>
      <x:c r="L93" s="127"/>
      <x:c r="M93" s="127"/>
      <x:c r="N93" s="127"/>
      <x:c r="O93" s="127"/>
      <x:c r="P93" s="127"/>
      <x:c r="Q93" s="127"/>
      <x:c r="R93" s="127"/>
      <x:c r="S93" s="127"/>
      <x:c r="T93" s="127"/>
      <x:c r="U93" s="127"/>
      <x:c r="V93" s="127"/>
      <x:c r="W93" s="127"/>
      <x:c r="X93" s="127"/>
      <x:c r="Y93" s="127"/>
      <x:c r="Z93" s="127" t="str">
        <x:v>責任者</x:v>
      </x:c>
      <x:c r="AA93" s="127"/>
      <x:c r="AB93" s="127"/>
      <x:c r="AC93" s="127"/>
      <x:c r="AD93" s="127"/>
      <x:c r="AE93" s="127"/>
      <x:c r="AF93" s="127"/>
      <x:c r="AG93" s="127"/>
      <x:c r="AH93" s="127"/>
      <x:c r="AI93" s="127"/>
      <x:c r="AJ93" s="127"/>
      <x:c r="AK93" s="127" t="str">
        <x:v>証跡・参照先</x:v>
      </x:c>
      <x:c r="AL93" s="127"/>
      <x:c r="AM93" s="127"/>
      <x:c r="AN93" s="127"/>
      <x:c r="AO93" s="127"/>
      <x:c r="AP93" s="127"/>
      <x:c r="AQ93" s="127"/>
      <x:c r="AR93" s="127"/>
      <x:c r="AS93" s="127"/>
      <x:c r="AT93" s="127"/>
      <x:c r="AU93" s="127"/>
      <x:c r="AV93" s="127"/>
      <x:c r="AW93" s="127"/>
      <x:c r="AX93" s="127"/>
      <x:c r="AY93" s="2"/>
      <x:c r="AZ93" s="2"/>
    </x:row>
    <x:row r="94" ht="13.5" customHeight="1">
      <x:c r="A94" s="2"/>
      <x:c r="B94" s="210" t="str">
        <x:v>BR-01</x:v>
      </x:c>
      <x:c r="C94" s="210"/>
      <x:c r="D94" s="210"/>
      <x:c r="E94" s="210"/>
      <x:c r="F94" s="210"/>
      <x:c r="G94" s="210"/>
      <x:c r="H94" s="210" t="str">
        <x:v>10万円以下は課長、超過は部長承認</x:v>
      </x:c>
      <x:c r="I94" s="210"/>
      <x:c r="J94" s="210"/>
      <x:c r="K94" s="210"/>
      <x:c r="L94" s="210"/>
      <x:c r="M94" s="210"/>
      <x:c r="N94" s="210"/>
      <x:c r="O94" s="210"/>
      <x:c r="P94" s="210"/>
      <x:c r="Q94" s="210"/>
      <x:c r="R94" s="210"/>
      <x:c r="S94" s="210"/>
      <x:c r="T94" s="210"/>
      <x:c r="U94" s="210"/>
      <x:c r="V94" s="210"/>
      <x:c r="W94" s="210"/>
      <x:c r="X94" s="210"/>
      <x:c r="Y94" s="210"/>
      <x:c r="Z94" s="210" t="str">
        <x:v>業務主管</x:v>
      </x:c>
      <x:c r="AA94" s="210"/>
      <x:c r="AB94" s="210"/>
      <x:c r="AC94" s="210"/>
      <x:c r="AD94" s="210"/>
      <x:c r="AE94" s="210"/>
      <x:c r="AF94" s="210"/>
      <x:c r="AG94" s="210"/>
      <x:c r="AH94" s="210"/>
      <x:c r="AI94" s="210"/>
      <x:c r="AJ94" s="210"/>
      <x:c r="AK94" s="210" t="str">
        <x:v>approval_task.route_code</x:v>
      </x:c>
      <x:c r="AL94" s="210"/>
      <x:c r="AM94" s="210"/>
      <x:c r="AN94" s="210"/>
      <x:c r="AO94" s="210"/>
      <x:c r="AP94" s="210"/>
      <x:c r="AQ94" s="210"/>
      <x:c r="AR94" s="210"/>
      <x:c r="AS94" s="210"/>
      <x:c r="AT94" s="210"/>
      <x:c r="AU94" s="210"/>
      <x:c r="AV94" s="210"/>
      <x:c r="AW94" s="210"/>
      <x:c r="AX94" s="210"/>
      <x:c r="AY94" s="2"/>
      <x:c r="AZ94" s="2"/>
    </x:row>
    <x:row r="95" ht="13.5" customHeight="1">
      <x:c r="A95" s="2"/>
      <x:c r="B95" s="210" t="str">
        <x:v>BR-02</x:v>
      </x:c>
      <x:c r="C95" s="210"/>
      <x:c r="D95" s="210"/>
      <x:c r="E95" s="210"/>
      <x:c r="F95" s="210"/>
      <x:c r="G95" s="210"/>
      <x:c r="H95" s="210" t="str">
        <x:v>差戻し理由は1文字以上500文字以下</x:v>
      </x:c>
      <x:c r="I95" s="210"/>
      <x:c r="J95" s="210"/>
      <x:c r="K95" s="210"/>
      <x:c r="L95" s="210"/>
      <x:c r="M95" s="210"/>
      <x:c r="N95" s="210"/>
      <x:c r="O95" s="210"/>
      <x:c r="P95" s="210"/>
      <x:c r="Q95" s="210"/>
      <x:c r="R95" s="210"/>
      <x:c r="S95" s="210"/>
      <x:c r="T95" s="210"/>
      <x:c r="U95" s="210"/>
      <x:c r="V95" s="210"/>
      <x:c r="W95" s="210"/>
      <x:c r="X95" s="210"/>
      <x:c r="Y95" s="210"/>
      <x:c r="Z95" s="210" t="str">
        <x:v>承認者</x:v>
      </x:c>
      <x:c r="AA95" s="210"/>
      <x:c r="AB95" s="210"/>
      <x:c r="AC95" s="210"/>
      <x:c r="AD95" s="210"/>
      <x:c r="AE95" s="210"/>
      <x:c r="AF95" s="210"/>
      <x:c r="AG95" s="210"/>
      <x:c r="AH95" s="210"/>
      <x:c r="AI95" s="210"/>
      <x:c r="AJ95" s="210"/>
      <x:c r="AK95" s="210" t="str">
        <x:v>audit_log / TR-05</x:v>
      </x:c>
      <x:c r="AL95" s="210"/>
      <x:c r="AM95" s="210"/>
      <x:c r="AN95" s="210"/>
      <x:c r="AO95" s="210"/>
      <x:c r="AP95" s="210"/>
      <x:c r="AQ95" s="210"/>
      <x:c r="AR95" s="210"/>
      <x:c r="AS95" s="210"/>
      <x:c r="AT95" s="210"/>
      <x:c r="AU95" s="210"/>
      <x:c r="AV95" s="210"/>
      <x:c r="AW95" s="210"/>
      <x:c r="AX95" s="210"/>
      <x:c r="AY95" s="2"/>
      <x:c r="AZ95" s="2"/>
    </x:row>
    <x:row r="96" ht="13.5" customHeight="1">
      <x:c r="A96" s="2"/>
      <x:c r="B96" s="210" t="str">
        <x:v>BR-03</x:v>
      </x:c>
      <x:c r="C96" s="210"/>
      <x:c r="D96" s="210"/>
      <x:c r="E96" s="210"/>
      <x:c r="F96" s="210"/>
      <x:c r="G96" s="210"/>
      <x:c r="H96" s="210" t="str">
        <x:v>会計連携5回失敗でERROR・DLQへ移管</x:v>
      </x:c>
      <x:c r="I96" s="210"/>
      <x:c r="J96" s="210"/>
      <x:c r="K96" s="210"/>
      <x:c r="L96" s="210"/>
      <x:c r="M96" s="210"/>
      <x:c r="N96" s="210"/>
      <x:c r="O96" s="210"/>
      <x:c r="P96" s="210"/>
      <x:c r="Q96" s="210"/>
      <x:c r="R96" s="210"/>
      <x:c r="S96" s="210"/>
      <x:c r="T96" s="210"/>
      <x:c r="U96" s="210"/>
      <x:c r="V96" s="210"/>
      <x:c r="W96" s="210"/>
      <x:c r="X96" s="210"/>
      <x:c r="Y96" s="210"/>
      <x:c r="Z96" s="210" t="str">
        <x:v>経理／運用</x:v>
      </x:c>
      <x:c r="AA96" s="210"/>
      <x:c r="AB96" s="210"/>
      <x:c r="AC96" s="210"/>
      <x:c r="AD96" s="210"/>
      <x:c r="AE96" s="210"/>
      <x:c r="AF96" s="210"/>
      <x:c r="AG96" s="210"/>
      <x:c r="AH96" s="210"/>
      <x:c r="AI96" s="210"/>
      <x:c r="AJ96" s="210"/>
      <x:c r="AK96" s="210" t="str">
        <x:v>TR-09 / OPS-ALM-02</x:v>
      </x:c>
      <x:c r="AL96" s="210"/>
      <x:c r="AM96" s="210"/>
      <x:c r="AN96" s="210"/>
      <x:c r="AO96" s="210"/>
      <x:c r="AP96" s="210"/>
      <x:c r="AQ96" s="210"/>
      <x:c r="AR96" s="210"/>
      <x:c r="AS96" s="210"/>
      <x:c r="AT96" s="210"/>
      <x:c r="AU96" s="210"/>
      <x:c r="AV96" s="210"/>
      <x:c r="AW96" s="210"/>
      <x:c r="AX96" s="210"/>
      <x:c r="AY96" s="2"/>
      <x:c r="AZ96" s="2"/>
    </x:row>
    <x:row r="97" ht="13.5" customHeight="1">
      <x:c r="A97" s="2"/>
      <x:c r="B97" s="210" t="str">
        <x:v>SCOPE-01</x:v>
      </x:c>
      <x:c r="C97" s="210"/>
      <x:c r="D97" s="210"/>
      <x:c r="E97" s="210"/>
      <x:c r="F97" s="210"/>
      <x:c r="G97" s="210"/>
      <x:c r="H97" s="210" t="str">
        <x:v>銀行振込指示と入金消込は対象外</x:v>
      </x:c>
      <x:c r="I97" s="210"/>
      <x:c r="J97" s="210"/>
      <x:c r="K97" s="210"/>
      <x:c r="L97" s="210"/>
      <x:c r="M97" s="210"/>
      <x:c r="N97" s="210"/>
      <x:c r="O97" s="210"/>
      <x:c r="P97" s="210"/>
      <x:c r="Q97" s="210"/>
      <x:c r="R97" s="210"/>
      <x:c r="S97" s="210"/>
      <x:c r="T97" s="210"/>
      <x:c r="U97" s="210"/>
      <x:c r="V97" s="210"/>
      <x:c r="W97" s="210"/>
      <x:c r="X97" s="210"/>
      <x:c r="Y97" s="210"/>
      <x:c r="Z97" s="210" t="str">
        <x:v>会計システム主管</x:v>
      </x:c>
      <x:c r="AA97" s="210"/>
      <x:c r="AB97" s="210"/>
      <x:c r="AC97" s="210"/>
      <x:c r="AD97" s="210"/>
      <x:c r="AE97" s="210"/>
      <x:c r="AF97" s="210"/>
      <x:c r="AG97" s="210"/>
      <x:c r="AH97" s="210"/>
      <x:c r="AI97" s="210"/>
      <x:c r="AJ97" s="210"/>
      <x:c r="AK97" s="210" t="str">
        <x:v>IF-06責任分界</x:v>
      </x:c>
      <x:c r="AL97" s="210"/>
      <x:c r="AM97" s="210"/>
      <x:c r="AN97" s="210"/>
      <x:c r="AO97" s="210"/>
      <x:c r="AP97" s="210"/>
      <x:c r="AQ97" s="210"/>
      <x:c r="AR97" s="210"/>
      <x:c r="AS97" s="210"/>
      <x:c r="AT97" s="210"/>
      <x:c r="AU97" s="210"/>
      <x:c r="AV97" s="210"/>
      <x:c r="AW97" s="210"/>
      <x:c r="AX97" s="210"/>
      <x:c r="AY97" s="2"/>
      <x:c r="AZ97" s="2"/>
    </x:row>
    <x:row r="98" ht="13.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 ht="13.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 ht="13.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 ht="13.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</x:sheetData>
  <x:mergeCells>
    <x:mergeCell ref="A1:AZ2"/>
    <x:mergeCell ref="A3:AZ3"/>
    <x:mergeCell ref="A4:L4"/>
    <x:mergeCell ref="M4:R4"/>
    <x:mergeCell ref="S4:AE4"/>
    <x:mergeCell ref="AF4:AQ4"/>
    <x:mergeCell ref="AR4:AZ4"/>
    <x:mergeCell ref="B5:AX6"/>
    <x:mergeCell ref="B8:M10"/>
    <x:mergeCell ref="N8:AA10"/>
    <x:mergeCell ref="AB8:AM10"/>
    <x:mergeCell ref="AN8:AY10"/>
    <x:mergeCell ref="E12:J15"/>
    <x:mergeCell ref="D19:K23"/>
    <x:mergeCell ref="L20:Q20"/>
    <x:mergeCell ref="R19:Y23"/>
    <x:mergeCell ref="R28:Y34"/>
    <x:mergeCell ref="L29:Q29"/>
    <x:mergeCell ref="V36:Y37"/>
    <x:mergeCell ref="R39:Y44"/>
    <x:mergeCell ref="Q49:Z53"/>
    <x:mergeCell ref="AA50:AE50"/>
    <x:mergeCell ref="AF49:AK53"/>
    <x:mergeCell ref="AE58:AL64"/>
    <x:mergeCell ref="X59:AD59"/>
    <x:mergeCell ref="P59:W63"/>
    <x:mergeCell ref="H58:O60"/>
    <x:mergeCell ref="AM60:AQ60"/>
    <x:mergeCell ref="AR59:AW63"/>
    <x:mergeCell ref="AQ68:AX74"/>
    <x:mergeCell ref="Y69:AP69"/>
    <x:mergeCell ref="Q69:X73"/>
    <x:mergeCell ref="L70:O72"/>
    <x:mergeCell ref="L68:P69"/>
    <x:mergeCell ref="AS55:AV57"/>
    <x:mergeCell ref="AU76:AX77"/>
    <x:mergeCell ref="AQ78:AX82"/>
    <x:mergeCell ref="Y78:AP78"/>
    <x:mergeCell ref="Q78:X82"/>
    <x:mergeCell ref="K78:P78"/>
    <x:mergeCell ref="E78:J82"/>
    <x:mergeCell ref="B85:AX87"/>
    <x:mergeCell ref="B90:AX91"/>
    <x:mergeCell ref="B93:G93"/>
    <x:mergeCell ref="H93:Y93"/>
    <x:mergeCell ref="Z93:AJ93"/>
    <x:mergeCell ref="AK93:AX93"/>
    <x:mergeCell ref="B94:G94"/>
    <x:mergeCell ref="H94:Y94"/>
    <x:mergeCell ref="Z94:AJ94"/>
    <x:mergeCell ref="AK94:AX94"/>
    <x:mergeCell ref="B95:G95"/>
    <x:mergeCell ref="H95:Y95"/>
    <x:mergeCell ref="Z95:AJ95"/>
    <x:mergeCell ref="AK95:AX95"/>
    <x:mergeCell ref="B96:G96"/>
    <x:mergeCell ref="H96:Y96"/>
    <x:mergeCell ref="Z96:AJ96"/>
    <x:mergeCell ref="AK96:AX96"/>
    <x:mergeCell ref="B97:G97"/>
    <x:mergeCell ref="H97:Y97"/>
    <x:mergeCell ref="Z97:AJ97"/>
    <x:mergeCell ref="AK97:AX97"/>
  </x:mergeCells>
  <x:pageMargins left="0.7" right="0.7" top="0.75" bottom="0.75" header="0.3" footer="0.3"/>
  <x:drawing xmlns:r="http://schemas.openxmlformats.org/officeDocument/2006/relationships" r:id="Ra3959fbfe4e84249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</x:cols>
  <x:sheetData>
    <x:row r="1" ht="13.5" customHeight="1">
      <x:c r="A1" s="131" t="str">
        <x:v>05 画面・入力仕様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  <x:c r="N1" s="131"/>
      <x:c r="O1" s="131"/>
      <x:c r="P1" s="131"/>
      <x:c r="Q1" s="131"/>
      <x:c r="R1" s="131"/>
      <x:c r="S1" s="131"/>
      <x:c r="T1" s="131"/>
      <x:c r="U1" s="131"/>
      <x:c r="V1" s="131"/>
      <x:c r="W1" s="131"/>
      <x:c r="X1" s="131"/>
      <x:c r="Y1" s="131"/>
      <x:c r="Z1" s="131"/>
      <x:c r="AA1" s="131"/>
      <x:c r="AB1" s="131"/>
      <x:c r="AC1" s="131"/>
      <x:c r="AD1" s="131"/>
      <x:c r="AE1" s="131"/>
      <x:c r="AF1" s="131"/>
      <x:c r="AG1" s="131"/>
      <x:c r="AH1" s="131"/>
      <x:c r="AI1" s="131"/>
      <x:c r="AJ1" s="131"/>
      <x:c r="AK1" s="131"/>
      <x:c r="AL1" s="131"/>
      <x:c r="AM1" s="131"/>
      <x:c r="AN1" s="131"/>
      <x:c r="AO1" s="131"/>
      <x:c r="AP1" s="131"/>
      <x:c r="AQ1" s="131"/>
      <x:c r="AR1" s="131"/>
      <x:c r="AS1" s="131"/>
      <x:c r="AT1" s="131"/>
      <x:c r="AU1" s="131"/>
      <x:c r="AV1" s="131"/>
      <x:c r="AW1" s="131"/>
      <x:c r="AX1" s="131"/>
      <x:c r="AY1" s="131"/>
      <x:c r="AZ1" s="131"/>
    </x:row>
    <x:row r="2" ht="13.5" customHeight="1">
      <x:c r="A2" s="131"/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  <x:c r="Q2" s="131"/>
      <x:c r="R2" s="131"/>
      <x:c r="S2" s="131"/>
      <x:c r="T2" s="131"/>
      <x:c r="U2" s="131"/>
      <x:c r="V2" s="131"/>
      <x:c r="W2" s="131"/>
      <x:c r="X2" s="131"/>
      <x:c r="Y2" s="131"/>
      <x:c r="Z2" s="131"/>
      <x:c r="AA2" s="131"/>
      <x:c r="AB2" s="131"/>
      <x:c r="AC2" s="131"/>
      <x:c r="AD2" s="131"/>
      <x:c r="AE2" s="131"/>
      <x:c r="AF2" s="131"/>
      <x:c r="AG2" s="131"/>
      <x:c r="AH2" s="131"/>
      <x:c r="AI2" s="131"/>
      <x:c r="AJ2" s="131"/>
      <x:c r="AK2" s="131"/>
      <x:c r="AL2" s="131"/>
      <x:c r="AM2" s="131"/>
      <x:c r="AN2" s="131"/>
      <x:c r="AO2" s="131"/>
      <x:c r="AP2" s="131"/>
      <x:c r="AQ2" s="131"/>
      <x:c r="AR2" s="131"/>
      <x:c r="AS2" s="131"/>
      <x:c r="AT2" s="131"/>
      <x:c r="AU2" s="131"/>
      <x:c r="AV2" s="131"/>
      <x:c r="AW2" s="131"/>
      <x:c r="AX2" s="131"/>
      <x:c r="AY2" s="131"/>
      <x:c r="AZ2" s="131"/>
    </x:row>
    <x:row r="3" ht="13.5" customHeight="1">
      <x:c r="A3" s="135" t="str">
        <x:v>画面ID：EXP-ENTRY-01 経費申請入力。青字セルは検証用に編集可能。</x:v>
      </x:c>
      <x:c r="B3" s="135"/>
      <x:c r="C3" s="135"/>
      <x:c r="D3" s="135"/>
      <x:c r="E3" s="135"/>
      <x:c r="F3" s="135"/>
      <x:c r="G3" s="135"/>
      <x:c r="H3" s="135"/>
      <x:c r="I3" s="135"/>
      <x:c r="J3" s="135"/>
      <x:c r="K3" s="135"/>
      <x:c r="L3" s="135"/>
      <x:c r="M3" s="135"/>
      <x:c r="N3" s="135"/>
      <x:c r="O3" s="135"/>
      <x:c r="P3" s="135"/>
      <x:c r="Q3" s="135"/>
      <x:c r="R3" s="135"/>
      <x:c r="S3" s="135"/>
      <x:c r="T3" s="135"/>
      <x:c r="U3" s="135"/>
      <x:c r="V3" s="135"/>
      <x:c r="W3" s="135"/>
      <x:c r="X3" s="135"/>
      <x:c r="Y3" s="135"/>
      <x:c r="Z3" s="135"/>
      <x:c r="AA3" s="135"/>
      <x:c r="AB3" s="135"/>
      <x:c r="AC3" s="135"/>
      <x:c r="AD3" s="135"/>
      <x:c r="AE3" s="135"/>
      <x:c r="AF3" s="135"/>
      <x:c r="AG3" s="135"/>
      <x:c r="AH3" s="135"/>
      <x:c r="AI3" s="135"/>
      <x:c r="AJ3" s="135"/>
      <x:c r="AK3" s="135"/>
      <x:c r="AL3" s="135"/>
      <x:c r="AM3" s="135"/>
      <x:c r="AN3" s="135"/>
      <x:c r="AO3" s="135"/>
      <x:c r="AP3" s="135"/>
      <x:c r="AQ3" s="135"/>
      <x:c r="AR3" s="135"/>
      <x:c r="AS3" s="135"/>
      <x:c r="AT3" s="135"/>
      <x:c r="AU3" s="135"/>
      <x:c r="AV3" s="135"/>
      <x:c r="AW3" s="135"/>
      <x:c r="AX3" s="135"/>
      <x:c r="AY3" s="135"/>
      <x:c r="AZ3" s="135"/>
    </x:row>
    <x:row r="4" ht="13.5" customHeight="1">
      <x:c r="A4" s="140" t="str">
        <x:v>文書ID: EXPS-DES-05</x:v>
      </x:c>
      <x:c r="B4" s="140"/>
      <x:c r="C4" s="140"/>
      <x:c r="D4" s="140"/>
      <x:c r="E4" s="140"/>
      <x:c r="F4" s="140"/>
      <x:c r="G4" s="140"/>
      <x:c r="H4" s="140"/>
      <x:c r="I4" s="140"/>
      <x:c r="J4" s="140"/>
      <x:c r="K4" s="140"/>
      <x:c r="L4" s="140"/>
      <x:c r="M4" s="140" t="str">
        <x:v>版: 1.2</x:v>
      </x:c>
      <x:c r="N4" s="140"/>
      <x:c r="O4" s="140"/>
      <x:c r="P4" s="140"/>
      <x:c r="Q4" s="140"/>
      <x:c r="R4" s="140"/>
      <x:c r="S4" s="140" t="str">
        <x:v>状態: レビュー中</x:v>
      </x:c>
      <x:c r="T4" s="140"/>
      <x:c r="U4" s="140"/>
      <x:c r="V4" s="140"/>
      <x:c r="W4" s="140"/>
      <x:c r="X4" s="140"/>
      <x:c r="Y4" s="140"/>
      <x:c r="Z4" s="140"/>
      <x:c r="AA4" s="140"/>
      <x:c r="AB4" s="140"/>
      <x:c r="AC4" s="140"/>
      <x:c r="AD4" s="140"/>
      <x:c r="AE4" s="140"/>
      <x:c r="AF4" s="140" t="str">
        <x:v>主管: 業務システム部</x:v>
      </x:c>
      <x:c r="AG4" s="140"/>
      <x:c r="AH4" s="140"/>
      <x:c r="AI4" s="140"/>
      <x:c r="AJ4" s="140"/>
      <x:c r="AK4" s="140"/>
      <x:c r="AL4" s="140"/>
      <x:c r="AM4" s="140"/>
      <x:c r="AN4" s="140"/>
      <x:c r="AO4" s="140"/>
      <x:c r="AP4" s="140"/>
      <x:c r="AQ4" s="140"/>
      <x:c r="AR4" s="140" t="str">
        <x:v>更新: 2026-08-23</x:v>
      </x:c>
      <x:c r="AS4" s="140"/>
      <x:c r="AT4" s="140"/>
      <x:c r="AU4" s="140"/>
      <x:c r="AV4" s="140"/>
      <x:c r="AW4" s="140"/>
      <x:c r="AX4" s="140"/>
      <x:c r="AY4" s="140"/>
      <x:c r="AZ4" s="140"/>
    </x:row>
    <x:row r="5" ht="13.5" customHeight="1">
      <x:c r="A5" s="2"/>
      <x:c r="B5" s="77" t="str">
        <x:v>5.1 画面イメージ</x:v>
      </x:c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9"/>
      <x:c r="Z5" s="2"/>
      <x:c r="AA5" s="2"/>
      <x:c r="AB5" s="77" t="str">
        <x:v>5.2 項目定義・検証ルール</x:v>
      </x:c>
      <x:c r="AC5" s="78"/>
      <x:c r="AD5" s="78"/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8"/>
      <x:c r="AY5" s="79"/>
      <x:c r="AZ5" s="2"/>
    </x:row>
    <x:row r="6" ht="13.5" customHeight="1">
      <x:c r="A6" s="2"/>
      <x:c r="B6" s="80"/>
      <x:c r="C6" s="8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2"/>
      <x:c r="Z6" s="2"/>
      <x:c r="AA6" s="2"/>
      <x:c r="AB6" s="80"/>
      <x:c r="AC6" s="81"/>
      <x:c r="AD6" s="81"/>
      <x:c r="AE6" s="81"/>
      <x:c r="AF6" s="81"/>
      <x:c r="AG6" s="81"/>
      <x:c r="AH6" s="81"/>
      <x:c r="AI6" s="81"/>
      <x:c r="AJ6" s="81"/>
      <x:c r="AK6" s="81"/>
      <x:c r="AL6" s="81"/>
      <x:c r="AM6" s="81"/>
      <x:c r="AN6" s="81"/>
      <x:c r="AO6" s="81"/>
      <x:c r="AP6" s="81"/>
      <x:c r="AQ6" s="81"/>
      <x:c r="AR6" s="81"/>
      <x:c r="AS6" s="81"/>
      <x:c r="AT6" s="81"/>
      <x:c r="AU6" s="81"/>
      <x:c r="AV6" s="81"/>
      <x:c r="AW6" s="81"/>
      <x:c r="AX6" s="81"/>
      <x:c r="AY6" s="82"/>
      <x:c r="AZ6" s="2"/>
    </x:row>
    <x:row r="7" ht="13.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13.5" customHeight="1">
      <x:c r="A8" s="2"/>
      <x:c r="B8" s="2"/>
      <x:c r="C8" s="911" t="str">
        <x:v>経費申請入力</x:v>
      </x:c>
      <x:c r="D8" s="911"/>
      <x:c r="E8" s="911"/>
      <x:c r="F8" s="911"/>
      <x:c r="G8" s="911"/>
      <x:c r="H8" s="911"/>
      <x:c r="I8" s="911"/>
      <x:c r="J8" s="911"/>
      <x:c r="K8" s="911"/>
      <x:c r="L8" s="911"/>
      <x:c r="M8" s="911"/>
      <x:c r="N8" s="911"/>
      <x:c r="O8" s="911"/>
      <x:c r="P8" s="911"/>
      <x:c r="Q8" s="911"/>
      <x:c r="R8" s="911"/>
      <x:c r="S8" s="911"/>
      <x:c r="T8" s="911"/>
      <x:c r="U8" s="911"/>
      <x:c r="V8" s="911"/>
      <x:c r="W8" s="911"/>
      <x:c r="X8" s="911"/>
      <x:c r="Y8" s="2"/>
      <x:c r="Z8" s="2"/>
      <x:c r="AA8" s="2"/>
      <x:c r="AB8" s="127" t="str">
        <x:v>項目ID</x:v>
      </x:c>
      <x:c r="AC8" s="127"/>
      <x:c r="AD8" s="127"/>
      <x:c r="AE8" s="127"/>
      <x:c r="AF8" s="127" t="str">
        <x:v>項目名</x:v>
      </x:c>
      <x:c r="AG8" s="127"/>
      <x:c r="AH8" s="127"/>
      <x:c r="AI8" s="127"/>
      <x:c r="AJ8" s="127"/>
      <x:c r="AK8" s="127" t="str">
        <x:v>型／桁</x:v>
      </x:c>
      <x:c r="AL8" s="127"/>
      <x:c r="AM8" s="127"/>
      <x:c r="AN8" s="127"/>
      <x:c r="AO8" s="127" t="str">
        <x:v>必須</x:v>
      </x:c>
      <x:c r="AP8" s="127"/>
      <x:c r="AQ8" s="127"/>
      <x:c r="AR8" s="127" t="str">
        <x:v>検証ルール</x:v>
      </x:c>
      <x:c r="AS8" s="127"/>
      <x:c r="AT8" s="127"/>
      <x:c r="AU8" s="127"/>
      <x:c r="AV8" s="127"/>
      <x:c r="AW8" s="127" t="str">
        <x:v>エラーコード</x:v>
      </x:c>
      <x:c r="AX8" s="127"/>
      <x:c r="AY8" s="127"/>
      <x:c r="AZ8" s="2"/>
    </x:row>
    <x:row r="9" ht="13.5" customHeight="1">
      <x:c r="A9" s="2"/>
      <x:c r="B9" s="2"/>
      <x:c r="C9" s="911"/>
      <x:c r="D9" s="911"/>
      <x:c r="E9" s="911"/>
      <x:c r="F9" s="911"/>
      <x:c r="G9" s="911"/>
      <x:c r="H9" s="911"/>
      <x:c r="I9" s="911"/>
      <x:c r="J9" s="911"/>
      <x:c r="K9" s="911"/>
      <x:c r="L9" s="911"/>
      <x:c r="M9" s="911"/>
      <x:c r="N9" s="911"/>
      <x:c r="O9" s="911"/>
      <x:c r="P9" s="911"/>
      <x:c r="Q9" s="911"/>
      <x:c r="R9" s="911"/>
      <x:c r="S9" s="911"/>
      <x:c r="T9" s="911"/>
      <x:c r="U9" s="911"/>
      <x:c r="V9" s="911"/>
      <x:c r="W9" s="911"/>
      <x:c r="X9" s="911"/>
      <x:c r="Y9" s="2"/>
      <x:c r="Z9" s="2"/>
      <x:c r="AA9" s="2"/>
      <x:c r="AB9" s="210" t="str">
        <x:v>F-01</x:v>
      </x:c>
      <x:c r="AC9" s="210"/>
      <x:c r="AD9" s="210"/>
      <x:c r="AE9" s="210"/>
      <x:c r="AF9" s="210" t="str">
        <x:v>申請日</x:v>
      </x:c>
      <x:c r="AG9" s="210"/>
      <x:c r="AH9" s="210"/>
      <x:c r="AI9" s="210"/>
      <x:c r="AJ9" s="210"/>
      <x:c r="AK9" s="210" t="str">
        <x:v>date</x:v>
      </x:c>
      <x:c r="AL9" s="210"/>
      <x:c r="AM9" s="210"/>
      <x:c r="AN9" s="210"/>
      <x:c r="AO9" s="210" t="str">
        <x:v>○</x:v>
      </x:c>
      <x:c r="AP9" s="210"/>
      <x:c r="AQ9" s="210"/>
      <x:c r="AR9" s="210" t="str">
        <x:v>当日以前、過去1年以内</x:v>
      </x:c>
      <x:c r="AS9" s="210"/>
      <x:c r="AT9" s="210"/>
      <x:c r="AU9" s="210"/>
      <x:c r="AV9" s="210"/>
      <x:c r="AW9" s="210" t="str">
        <x:v>EXP-E001</x:v>
      </x:c>
      <x:c r="AX9" s="210"/>
      <x:c r="AY9" s="210"/>
      <x:c r="AZ9" s="2"/>
    </x:row>
    <x:row r="10" ht="13.5" customHeight="1">
      <x:c r="A10" s="2"/>
      <x:c r="B10" s="2"/>
      <x:c r="C10" s="911"/>
      <x:c r="D10" s="911"/>
      <x:c r="E10" s="911"/>
      <x:c r="F10" s="911"/>
      <x:c r="G10" s="911"/>
      <x:c r="H10" s="911"/>
      <x:c r="I10" s="911"/>
      <x:c r="J10" s="911"/>
      <x:c r="K10" s="911"/>
      <x:c r="L10" s="911"/>
      <x:c r="M10" s="911"/>
      <x:c r="N10" s="911"/>
      <x:c r="O10" s="911"/>
      <x:c r="P10" s="911"/>
      <x:c r="Q10" s="911"/>
      <x:c r="R10" s="911"/>
      <x:c r="S10" s="911"/>
      <x:c r="T10" s="911"/>
      <x:c r="U10" s="911"/>
      <x:c r="V10" s="911"/>
      <x:c r="W10" s="911"/>
      <x:c r="X10" s="911"/>
      <x:c r="Y10" s="2"/>
      <x:c r="Z10" s="2"/>
      <x:c r="AA10" s="2"/>
      <x:c r="AB10" s="210" t="str">
        <x:v>F-02</x:v>
      </x:c>
      <x:c r="AC10" s="210"/>
      <x:c r="AD10" s="210"/>
      <x:c r="AE10" s="210"/>
      <x:c r="AF10" s="210" t="str">
        <x:v>部門コード</x:v>
      </x:c>
      <x:c r="AG10" s="210"/>
      <x:c r="AH10" s="210"/>
      <x:c r="AI10" s="210"/>
      <x:c r="AJ10" s="210"/>
      <x:c r="AK10" s="210" t="str">
        <x:v>char(5)</x:v>
      </x:c>
      <x:c r="AL10" s="210"/>
      <x:c r="AM10" s="210"/>
      <x:c r="AN10" s="210"/>
      <x:c r="AO10" s="210" t="str">
        <x:v>○</x:v>
      </x:c>
      <x:c r="AP10" s="210"/>
      <x:c r="AQ10" s="210"/>
      <x:c r="AR10" s="210" t="str">
        <x:v>部門マスタに存在</x:v>
      </x:c>
      <x:c r="AS10" s="210"/>
      <x:c r="AT10" s="210"/>
      <x:c r="AU10" s="210"/>
      <x:c r="AV10" s="210"/>
      <x:c r="AW10" s="210" t="str">
        <x:v>EXP-E002</x:v>
      </x:c>
      <x:c r="AX10" s="210"/>
      <x:c r="AY10" s="210"/>
      <x:c r="AZ10" s="2"/>
    </x:row>
    <x:row r="11" ht="13.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10" t="str">
        <x:v>F-03</x:v>
      </x:c>
      <x:c r="AC11" s="210"/>
      <x:c r="AD11" s="210"/>
      <x:c r="AE11" s="210"/>
      <x:c r="AF11" s="210" t="str">
        <x:v>摘要</x:v>
      </x:c>
      <x:c r="AG11" s="210"/>
      <x:c r="AH11" s="210"/>
      <x:c r="AI11" s="210"/>
      <x:c r="AJ11" s="210"/>
      <x:c r="AK11" s="210" t="str">
        <x:v>varchar(100)</x:v>
      </x:c>
      <x:c r="AL11" s="210"/>
      <x:c r="AM11" s="210"/>
      <x:c r="AN11" s="210"/>
      <x:c r="AO11" s="210" t="str">
        <x:v>○</x:v>
      </x:c>
      <x:c r="AP11" s="210"/>
      <x:c r="AQ11" s="210"/>
      <x:c r="AR11" s="210" t="str">
        <x:v>1〜100文字、制御文字不可</x:v>
      </x:c>
      <x:c r="AS11" s="210"/>
      <x:c r="AT11" s="210"/>
      <x:c r="AU11" s="210"/>
      <x:c r="AV11" s="210"/>
      <x:c r="AW11" s="210" t="str">
        <x:v>EXP-E003</x:v>
      </x:c>
      <x:c r="AX11" s="210"/>
      <x:c r="AY11" s="210"/>
      <x:c r="AZ11" s="2"/>
    </x:row>
    <x:row r="12" ht="13.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10" t="str">
        <x:v>F-04</x:v>
      </x:c>
      <x:c r="AC12" s="210"/>
      <x:c r="AD12" s="210"/>
      <x:c r="AE12" s="210"/>
      <x:c r="AF12" s="210" t="str">
        <x:v>金額</x:v>
      </x:c>
      <x:c r="AG12" s="210"/>
      <x:c r="AH12" s="210"/>
      <x:c r="AI12" s="210"/>
      <x:c r="AJ12" s="210"/>
      <x:c r="AK12" s="210" t="str">
        <x:v>integer</x:v>
      </x:c>
      <x:c r="AL12" s="210"/>
      <x:c r="AM12" s="210"/>
      <x:c r="AN12" s="210"/>
      <x:c r="AO12" s="210" t="str">
        <x:v>○</x:v>
      </x:c>
      <x:c r="AP12" s="210"/>
      <x:c r="AQ12" s="210"/>
      <x:c r="AR12" s="210" t="str">
        <x:v>1〜9,999,999円</x:v>
      </x:c>
      <x:c r="AS12" s="210"/>
      <x:c r="AT12" s="210"/>
      <x:c r="AU12" s="210"/>
      <x:c r="AV12" s="210"/>
      <x:c r="AW12" s="210" t="str">
        <x:v>EXP-E004</x:v>
      </x:c>
      <x:c r="AX12" s="210"/>
      <x:c r="AY12" s="210"/>
      <x:c r="AZ12" s="2"/>
    </x:row>
    <x:row r="13" ht="13.5" customHeight="1">
      <x:c r="A13" s="2"/>
      <x:c r="B13" s="2"/>
      <x:c r="C13" s="2"/>
      <x:c r="D13" s="50" t="str">
        <x:v>申請日 *</x:v>
      </x:c>
      <x:c r="E13" s="50"/>
      <x:c r="F13" s="50"/>
      <x:c r="G13" s="50"/>
      <x:c r="H13" s="50"/>
      <x:c r="I13" s="50"/>
      <x:c r="J13" s="50"/>
      <x:c r="K13" s="56" t="str">
        <x:v>2026-08-23</x:v>
      </x:c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2"/>
      <x:c r="X13" s="2"/>
      <x:c r="Y13" s="2"/>
      <x:c r="Z13" s="2"/>
      <x:c r="AA13" s="2"/>
      <x:c r="AB13" s="210" t="str">
        <x:v>F-05</x:v>
      </x:c>
      <x:c r="AC13" s="210"/>
      <x:c r="AD13" s="210"/>
      <x:c r="AE13" s="210"/>
      <x:c r="AF13" s="210" t="str">
        <x:v>税区分</x:v>
      </x:c>
      <x:c r="AG13" s="210"/>
      <x:c r="AH13" s="210"/>
      <x:c r="AI13" s="210"/>
      <x:c r="AJ13" s="210"/>
      <x:c r="AK13" s="210" t="str">
        <x:v>enum</x:v>
      </x:c>
      <x:c r="AL13" s="210"/>
      <x:c r="AM13" s="210"/>
      <x:c r="AN13" s="210"/>
      <x:c r="AO13" s="210" t="str">
        <x:v>○</x:v>
      </x:c>
      <x:c r="AP13" s="210"/>
      <x:c r="AQ13" s="210"/>
      <x:c r="AR13" s="210" t="str">
        <x:v>10%／8%／非課税</x:v>
      </x:c>
      <x:c r="AS13" s="210"/>
      <x:c r="AT13" s="210"/>
      <x:c r="AU13" s="210"/>
      <x:c r="AV13" s="210"/>
      <x:c r="AW13" s="210" t="str">
        <x:v>EXP-E005</x:v>
      </x:c>
      <x:c r="AX13" s="210"/>
      <x:c r="AY13" s="210"/>
      <x:c r="AZ13" s="2"/>
    </x:row>
    <x:row r="14" ht="13.5" customHeight="1">
      <x:c r="A14" s="2"/>
      <x:c r="B14" s="2"/>
      <x:c r="C14" s="2"/>
      <x:c r="D14" s="50"/>
      <x:c r="E14" s="50"/>
      <x:c r="F14" s="50"/>
      <x:c r="G14" s="50"/>
      <x:c r="H14" s="50"/>
      <x:c r="I14" s="50"/>
      <x:c r="J14" s="50"/>
      <x:c r="K14" s="56"/>
      <x:c r="L14" s="56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2"/>
      <x:c r="X14" s="2"/>
      <x:c r="Y14" s="2"/>
      <x:c r="Z14" s="2"/>
      <x:c r="AA14" s="2"/>
      <x:c r="AB14" s="210" t="str">
        <x:v>F-06</x:v>
      </x:c>
      <x:c r="AC14" s="210"/>
      <x:c r="AD14" s="210"/>
      <x:c r="AE14" s="210"/>
      <x:c r="AF14" s="210" t="str">
        <x:v>領収書</x:v>
      </x:c>
      <x:c r="AG14" s="210"/>
      <x:c r="AH14" s="210"/>
      <x:c r="AI14" s="210"/>
      <x:c r="AJ14" s="210"/>
      <x:c r="AK14" s="210" t="str">
        <x:v>file</x:v>
      </x:c>
      <x:c r="AL14" s="210"/>
      <x:c r="AM14" s="210"/>
      <x:c r="AN14" s="210"/>
      <x:c r="AO14" s="210" t="str">
        <x:v>条件付</x:v>
      </x:c>
      <x:c r="AP14" s="210"/>
      <x:c r="AQ14" s="210"/>
      <x:c r="AR14" s="210" t="str">
        <x:v>10,000円以上は必須、最大10MB</x:v>
      </x:c>
      <x:c r="AS14" s="210"/>
      <x:c r="AT14" s="210"/>
      <x:c r="AU14" s="210"/>
      <x:c r="AV14" s="210"/>
      <x:c r="AW14" s="210" t="str">
        <x:v>EXP-E006</x:v>
      </x:c>
      <x:c r="AX14" s="210"/>
      <x:c r="AY14" s="210"/>
      <x:c r="AZ14" s="2"/>
    </x:row>
    <x:row r="15" ht="13.5" customHeight="1">
      <x:c r="A15" s="2"/>
      <x:c r="B15" s="2"/>
      <x:c r="C15" s="2"/>
      <x:c r="D15" s="50"/>
      <x:c r="E15" s="50"/>
      <x:c r="F15" s="50"/>
      <x:c r="G15" s="50"/>
      <x:c r="H15" s="50"/>
      <x:c r="I15" s="50"/>
      <x:c r="J15" s="50"/>
      <x:c r="K15" s="56"/>
      <x:c r="L15" s="56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2"/>
      <x:c r="X15" s="2"/>
      <x:c r="Y15" s="2"/>
      <x:c r="Z15" s="2"/>
      <x:c r="AA15" s="2"/>
      <x:c r="AB15" s="210" t="str">
        <x:v>F-07</x:v>
      </x:c>
      <x:c r="AC15" s="210"/>
      <x:c r="AD15" s="210"/>
      <x:c r="AE15" s="210"/>
      <x:c r="AF15" s="210" t="str">
        <x:v>備考</x:v>
      </x:c>
      <x:c r="AG15" s="210"/>
      <x:c r="AH15" s="210"/>
      <x:c r="AI15" s="210"/>
      <x:c r="AJ15" s="210"/>
      <x:c r="AK15" s="210" t="str">
        <x:v>varchar(500)</x:v>
      </x:c>
      <x:c r="AL15" s="210"/>
      <x:c r="AM15" s="210"/>
      <x:c r="AN15" s="210"/>
      <x:c r="AO15" s="210" t="str">
        <x:v>—</x:v>
      </x:c>
      <x:c r="AP15" s="210"/>
      <x:c r="AQ15" s="210"/>
      <x:c r="AR15" s="210" t="str">
        <x:v>500文字以内</x:v>
      </x:c>
      <x:c r="AS15" s="210"/>
      <x:c r="AT15" s="210"/>
      <x:c r="AU15" s="210"/>
      <x:c r="AV15" s="210"/>
      <x:c r="AW15" s="210" t="str">
        <x:v>EXP-E007</x:v>
      </x:c>
      <x:c r="AX15" s="210"/>
      <x:c r="AY15" s="210"/>
      <x:c r="AZ15" s="2"/>
    </x:row>
    <x:row r="16" ht="13.5" customHeight="1">
      <x:c r="A16" s="2"/>
      <x:c r="B16" s="2"/>
      <x:c r="C16" s="2"/>
      <x:c r="D16" s="50"/>
      <x:c r="E16" s="50"/>
      <x:c r="F16" s="50"/>
      <x:c r="G16" s="50"/>
      <x:c r="H16" s="50"/>
      <x:c r="I16" s="50"/>
      <x:c r="J16" s="50"/>
      <x:c r="K16" s="56"/>
      <x:c r="L16" s="56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 ht="13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 ht="13.5" customHeight="1">
      <x:c r="A18" s="2"/>
      <x:c r="B18" s="2"/>
      <x:c r="C18" s="2"/>
      <x:c r="D18" s="50" t="str">
        <x:v>部門コード *</x:v>
      </x:c>
      <x:c r="E18" s="50"/>
      <x:c r="F18" s="50"/>
      <x:c r="G18" s="50"/>
      <x:c r="H18" s="50"/>
      <x:c r="I18" s="50"/>
      <x:c r="J18" s="50"/>
      <x:c r="K18" s="56" t="str">
        <x:v>D1001</x:v>
      </x:c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 ht="13.5" customHeight="1">
      <x:c r="A19" s="2"/>
      <x:c r="B19" s="2"/>
      <x:c r="C19" s="2"/>
      <x:c r="D19" s="50"/>
      <x:c r="E19" s="50"/>
      <x:c r="F19" s="50"/>
      <x:c r="G19" s="50"/>
      <x:c r="H19" s="50"/>
      <x:c r="I19" s="50"/>
      <x:c r="J19" s="50"/>
      <x:c r="K19" s="56"/>
      <x:c r="L19" s="56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2"/>
      <x:c r="X19" s="2"/>
      <x:c r="Y19" s="2"/>
      <x:c r="Z19" s="2"/>
      <x:c r="AA19" s="2"/>
      <x:c r="AB19" s="77" t="str">
        <x:v>5.3 入力検証ミニハーネス</x:v>
      </x:c>
      <x:c r="AC19" s="78"/>
      <x:c r="AD19" s="78"/>
      <x:c r="AE19" s="78"/>
      <x:c r="AF19" s="78"/>
      <x:c r="AG19" s="78"/>
      <x:c r="AH19" s="78"/>
      <x:c r="AI19" s="78"/>
      <x:c r="AJ19" s="78"/>
      <x:c r="AK19" s="78"/>
      <x:c r="AL19" s="78"/>
      <x:c r="AM19" s="78"/>
      <x:c r="AN19" s="78"/>
      <x:c r="AO19" s="78"/>
      <x:c r="AP19" s="78"/>
      <x:c r="AQ19" s="78"/>
      <x:c r="AR19" s="78"/>
      <x:c r="AS19" s="78"/>
      <x:c r="AT19" s="78"/>
      <x:c r="AU19" s="78"/>
      <x:c r="AV19" s="78"/>
      <x:c r="AW19" s="78"/>
      <x:c r="AX19" s="78"/>
      <x:c r="AY19" s="79"/>
      <x:c r="AZ19" s="2"/>
    </x:row>
    <x:row r="20" ht="13.5" customHeight="1">
      <x:c r="A20" s="2"/>
      <x:c r="B20" s="2"/>
      <x:c r="C20" s="2"/>
      <x:c r="D20" s="50"/>
      <x:c r="E20" s="50"/>
      <x:c r="F20" s="50"/>
      <x:c r="G20" s="50"/>
      <x:c r="H20" s="50"/>
      <x:c r="I20" s="50"/>
      <x:c r="J20" s="50"/>
      <x:c r="K20" s="56"/>
      <x:c r="L20" s="56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2"/>
      <x:c r="X20" s="2"/>
      <x:c r="Y20" s="2"/>
      <x:c r="Z20" s="2"/>
      <x:c r="AA20" s="2"/>
      <x:c r="AB20" s="80"/>
      <x:c r="AC20" s="81"/>
      <x:c r="AD20" s="81"/>
      <x:c r="AE20" s="81"/>
      <x:c r="AF20" s="81"/>
      <x:c r="AG20" s="81"/>
      <x:c r="AH20" s="81"/>
      <x:c r="AI20" s="81"/>
      <x:c r="AJ20" s="81"/>
      <x:c r="AK20" s="81"/>
      <x:c r="AL20" s="81"/>
      <x:c r="AM20" s="81"/>
      <x:c r="AN20" s="81"/>
      <x:c r="AO20" s="81"/>
      <x:c r="AP20" s="81"/>
      <x:c r="AQ20" s="81"/>
      <x:c r="AR20" s="81"/>
      <x:c r="AS20" s="81"/>
      <x:c r="AT20" s="81"/>
      <x:c r="AU20" s="81"/>
      <x:c r="AV20" s="81"/>
      <x:c r="AW20" s="81"/>
      <x:c r="AX20" s="81"/>
      <x:c r="AY20" s="82"/>
      <x:c r="AZ20" s="2"/>
    </x:row>
    <x:row r="21" ht="13.5" customHeight="1">
      <x:c r="A21" s="2"/>
      <x:c r="B21" s="2"/>
      <x:c r="C21" s="2"/>
      <x:c r="D21" s="50"/>
      <x:c r="E21" s="50"/>
      <x:c r="F21" s="50"/>
      <x:c r="G21" s="50"/>
      <x:c r="H21" s="50"/>
      <x:c r="I21" s="50"/>
      <x:c r="J21" s="50"/>
      <x:c r="K21" s="56"/>
      <x:c r="L21" s="56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 ht="13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127" t="str">
        <x:v>項目</x:v>
      </x:c>
      <x:c r="AC22" s="127"/>
      <x:c r="AD22" s="127"/>
      <x:c r="AE22" s="127"/>
      <x:c r="AF22" s="127"/>
      <x:c r="AG22" s="127"/>
      <x:c r="AH22" s="127"/>
      <x:c r="AI22" s="127" t="str">
        <x:v>テスト入力</x:v>
      </x:c>
      <x:c r="AJ22" s="127"/>
      <x:c r="AK22" s="127"/>
      <x:c r="AL22" s="127"/>
      <x:c r="AM22" s="127"/>
      <x:c r="AN22" s="127"/>
      <x:c r="AO22" s="127" t="str">
        <x:v>判定</x:v>
      </x:c>
      <x:c r="AP22" s="127"/>
      <x:c r="AQ22" s="127"/>
      <x:c r="AR22" s="127" t="str">
        <x:v>期待メッセージ</x:v>
      </x:c>
      <x:c r="AS22" s="127"/>
      <x:c r="AT22" s="127"/>
      <x:c r="AU22" s="127"/>
      <x:c r="AV22" s="127"/>
      <x:c r="AW22" s="127"/>
      <x:c r="AX22" s="127"/>
      <x:c r="AY22" s="127"/>
      <x:c r="AZ22" s="2"/>
    </x:row>
    <x:row r="23" ht="13.5" customHeight="1">
      <x:c r="A23" s="2"/>
      <x:c r="B23" s="2"/>
      <x:c r="C23" s="2"/>
      <x:c r="D23" s="50" t="str">
        <x:v>摘要 *</x:v>
      </x:c>
      <x:c r="E23" s="50"/>
      <x:c r="F23" s="50"/>
      <x:c r="G23" s="50"/>
      <x:c r="H23" s="50"/>
      <x:c r="I23" s="50"/>
      <x:c r="J23" s="50"/>
      <x:c r="K23" s="56" t="str">
        <x:v>顧客訪問の交通費</x:v>
      </x:c>
      <x:c r="L23" s="56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2"/>
      <x:c r="X23" s="2"/>
      <x:c r="Y23" s="2"/>
      <x:c r="Z23" s="2"/>
      <x:c r="AA23" s="2"/>
      <x:c r="AB23" s="122" t="str">
        <x:v>申請日</x:v>
      </x:c>
      <x:c r="AC23" s="122"/>
      <x:c r="AD23" s="122"/>
      <x:c r="AE23" s="122"/>
      <x:c r="AF23" s="122"/>
      <x:c r="AG23" s="122"/>
      <x:c r="AH23" s="122"/>
      <x:c r="AI23" s="981" t="str">
        <x:v>2026-08-23</x:v>
      </x:c>
      <x:c r="AJ23" s="122"/>
      <x:c r="AK23" s="122"/>
      <x:c r="AL23" s="122"/>
      <x:c r="AM23" s="122"/>
      <x:c r="AN23" s="122"/>
      <x:c r="AO23" s="122" t="str">
        <x:f>IF(AI23&lt;&gt;"","OK","NG")</x:f>
        <x:v>OK</x:v>
      </x:c>
      <x:c r="AP23" s="122"/>
      <x:c r="AQ23" s="122"/>
      <x:c r="AR23" s="122" t="str">
        <x:v>必須</x:v>
      </x:c>
      <x:c r="AS23" s="122"/>
      <x:c r="AT23" s="122"/>
      <x:c r="AU23" s="122"/>
      <x:c r="AV23" s="122"/>
      <x:c r="AW23" s="122"/>
      <x:c r="AX23" s="122"/>
      <x:c r="AY23" s="122"/>
      <x:c r="AZ23" s="2"/>
    </x:row>
    <x:row r="24" ht="13.5" customHeight="1">
      <x:c r="A24" s="2"/>
      <x:c r="B24" s="2"/>
      <x:c r="C24" s="2"/>
      <x:c r="D24" s="50"/>
      <x:c r="E24" s="50"/>
      <x:c r="F24" s="50"/>
      <x:c r="G24" s="50"/>
      <x:c r="H24" s="50"/>
      <x:c r="I24" s="50"/>
      <x:c r="J24" s="50"/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2"/>
      <x:c r="X24" s="2"/>
      <x:c r="Y24" s="2"/>
      <x:c r="Z24" s="2"/>
      <x:c r="AA24" s="2"/>
      <x:c r="AB24" s="122" t="str">
        <x:v>部門コード</x:v>
      </x:c>
      <x:c r="AC24" s="122"/>
      <x:c r="AD24" s="122"/>
      <x:c r="AE24" s="122"/>
      <x:c r="AF24" s="122"/>
      <x:c r="AG24" s="122"/>
      <x:c r="AH24" s="122"/>
      <x:c r="AI24" s="981" t="str">
        <x:v>D1001</x:v>
      </x:c>
      <x:c r="AJ24" s="122"/>
      <x:c r="AK24" s="122"/>
      <x:c r="AL24" s="122"/>
      <x:c r="AM24" s="122"/>
      <x:c r="AN24" s="122"/>
      <x:c r="AO24" s="122" t="str">
        <x:f>IF(LEN(AI24)=5,"OK","NG")</x:f>
        <x:v>OK</x:v>
      </x:c>
      <x:c r="AP24" s="122"/>
      <x:c r="AQ24" s="122"/>
      <x:c r="AR24" s="122" t="str">
        <x:v>5文字</x:v>
      </x:c>
      <x:c r="AS24" s="122"/>
      <x:c r="AT24" s="122"/>
      <x:c r="AU24" s="122"/>
      <x:c r="AV24" s="122"/>
      <x:c r="AW24" s="122"/>
      <x:c r="AX24" s="122"/>
      <x:c r="AY24" s="122"/>
      <x:c r="AZ24" s="2"/>
    </x:row>
    <x:row r="25" ht="13.5" customHeight="1">
      <x:c r="A25" s="2"/>
      <x:c r="B25" s="2"/>
      <x:c r="C25" s="2"/>
      <x:c r="D25" s="50"/>
      <x:c r="E25" s="50"/>
      <x:c r="F25" s="50"/>
      <x:c r="G25" s="50"/>
      <x:c r="H25" s="50"/>
      <x:c r="I25" s="50"/>
      <x:c r="J25" s="50"/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2"/>
      <x:c r="X25" s="2"/>
      <x:c r="Y25" s="2"/>
      <x:c r="Z25" s="2"/>
      <x:c r="AA25" s="2"/>
      <x:c r="AB25" s="122" t="str">
        <x:v>摘要</x:v>
      </x:c>
      <x:c r="AC25" s="122"/>
      <x:c r="AD25" s="122"/>
      <x:c r="AE25" s="122"/>
      <x:c r="AF25" s="122"/>
      <x:c r="AG25" s="122"/>
      <x:c r="AH25" s="122"/>
      <x:c r="AI25" s="981" t="str">
        <x:v>顧客訪問の交通費</x:v>
      </x:c>
      <x:c r="AJ25" s="122"/>
      <x:c r="AK25" s="122"/>
      <x:c r="AL25" s="122"/>
      <x:c r="AM25" s="122"/>
      <x:c r="AN25" s="122"/>
      <x:c r="AO25" s="122" t="str">
        <x:f>IF(AND(LEN(AI25)&gt;=1,LEN(AI25)&lt;=100),"OK","NG")</x:f>
        <x:v>OK</x:v>
      </x:c>
      <x:c r="AP25" s="122"/>
      <x:c r="AQ25" s="122"/>
      <x:c r="AR25" s="122" t="str">
        <x:v>1〜100文字</x:v>
      </x:c>
      <x:c r="AS25" s="122"/>
      <x:c r="AT25" s="122"/>
      <x:c r="AU25" s="122"/>
      <x:c r="AV25" s="122"/>
      <x:c r="AW25" s="122"/>
      <x:c r="AX25" s="122"/>
      <x:c r="AY25" s="122"/>
      <x:c r="AZ25" s="2"/>
    </x:row>
    <x:row r="26" ht="13.5" customHeight="1">
      <x:c r="A26" s="2"/>
      <x:c r="B26" s="2"/>
      <x:c r="C26" s="2"/>
      <x:c r="D26" s="50"/>
      <x:c r="E26" s="50"/>
      <x:c r="F26" s="50"/>
      <x:c r="G26" s="50"/>
      <x:c r="H26" s="50"/>
      <x:c r="I26" s="50"/>
      <x:c r="J26" s="50"/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2"/>
      <x:c r="X26" s="2"/>
      <x:c r="Y26" s="2"/>
      <x:c r="Z26" s="2"/>
      <x:c r="AA26" s="2"/>
      <x:c r="AB26" s="122" t="str">
        <x:v>金額</x:v>
      </x:c>
      <x:c r="AC26" s="122"/>
      <x:c r="AD26" s="122"/>
      <x:c r="AE26" s="122"/>
      <x:c r="AF26" s="122"/>
      <x:c r="AG26" s="122"/>
      <x:c r="AH26" s="122"/>
      <x:c r="AI26" s="982" t="n">
        <x:v>12800</x:v>
      </x:c>
      <x:c r="AJ26" s="122"/>
      <x:c r="AK26" s="122"/>
      <x:c r="AL26" s="122"/>
      <x:c r="AM26" s="122"/>
      <x:c r="AN26" s="122"/>
      <x:c r="AO26" s="122" t="str">
        <x:f>IF(AND(ISNUMBER(AI26),AI26&gt;=1,AI26&lt;=9999999),"OK","NG")</x:f>
        <x:v>OK</x:v>
      </x:c>
      <x:c r="AP26" s="122"/>
      <x:c r="AQ26" s="122"/>
      <x:c r="AR26" s="122" t="str">
        <x:v>1〜9,999,999</x:v>
      </x:c>
      <x:c r="AS26" s="122"/>
      <x:c r="AT26" s="122"/>
      <x:c r="AU26" s="122"/>
      <x:c r="AV26" s="122"/>
      <x:c r="AW26" s="122"/>
      <x:c r="AX26" s="122"/>
      <x:c r="AY26" s="122"/>
      <x:c r="AZ26" s="2"/>
    </x:row>
    <x:row r="27" ht="13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122" t="str">
        <x:v>税区分</x:v>
      </x:c>
      <x:c r="AC27" s="122"/>
      <x:c r="AD27" s="122"/>
      <x:c r="AE27" s="122"/>
      <x:c r="AF27" s="122"/>
      <x:c r="AG27" s="122"/>
      <x:c r="AH27" s="122"/>
      <x:c r="AI27" s="981" t="str">
        <x:v>10%</x:v>
      </x:c>
      <x:c r="AJ27" s="122"/>
      <x:c r="AK27" s="122"/>
      <x:c r="AL27" s="122"/>
      <x:c r="AM27" s="122"/>
      <x:c r="AN27" s="122"/>
      <x:c r="AO27" s="122" t="str">
        <x:f>IF(OR(AI27="10%",AI27="8%",AI27="非課税"),"OK","NG")</x:f>
        <x:v>OK</x:v>
      </x:c>
      <x:c r="AP27" s="122"/>
      <x:c r="AQ27" s="122"/>
      <x:c r="AR27" s="122" t="str">
        <x:v>10%／8%／非課税</x:v>
      </x:c>
      <x:c r="AS27" s="122"/>
      <x:c r="AT27" s="122"/>
      <x:c r="AU27" s="122"/>
      <x:c r="AV27" s="122"/>
      <x:c r="AW27" s="122"/>
      <x:c r="AX27" s="122"/>
      <x:c r="AY27" s="122"/>
      <x:c r="AZ27" s="2"/>
    </x:row>
    <x:row r="28" ht="13.5" customHeight="1">
      <x:c r="A28" s="2"/>
      <x:c r="B28" s="2"/>
      <x:c r="C28" s="2"/>
      <x:c r="D28" s="50" t="str">
        <x:v>金額 *</x:v>
      </x:c>
      <x:c r="E28" s="50"/>
      <x:c r="F28" s="50"/>
      <x:c r="G28" s="50"/>
      <x:c r="H28" s="50"/>
      <x:c r="I28" s="50"/>
      <x:c r="J28" s="50"/>
      <x:c r="K28" s="912" t="n">
        <x:v>12800</x:v>
      </x:c>
      <x:c r="L28" s="912"/>
      <x:c r="M28" s="912"/>
      <x:c r="N28" s="912"/>
      <x:c r="O28" s="912"/>
      <x:c r="P28" s="912"/>
      <x:c r="Q28" s="912"/>
      <x:c r="R28" s="912"/>
      <x:c r="S28" s="912"/>
      <x:c r="T28" s="912"/>
      <x:c r="U28" s="912"/>
      <x:c r="V28" s="912"/>
      <x:c r="W28" s="2"/>
      <x:c r="X28" s="2"/>
      <x:c r="Y28" s="2"/>
      <x:c r="Z28" s="2"/>
      <x:c r="AA28" s="2"/>
      <x:c r="AB28" s="122" t="str">
        <x:v>領収書</x:v>
      </x:c>
      <x:c r="AC28" s="122"/>
      <x:c r="AD28" s="122"/>
      <x:c r="AE28" s="122"/>
      <x:c r="AF28" s="122"/>
      <x:c r="AG28" s="122"/>
      <x:c r="AH28" s="122"/>
      <x:c r="AI28" s="981" t="str">
        <x:v>有</x:v>
      </x:c>
      <x:c r="AJ28" s="122"/>
      <x:c r="AK28" s="122"/>
      <x:c r="AL28" s="122"/>
      <x:c r="AM28" s="122"/>
      <x:c r="AN28" s="122"/>
      <x:c r="AO28" s="122" t="str">
        <x:f>IF(OR(AI26&lt;10000,AI28="有"),"OK","NG")</x:f>
        <x:v>OK</x:v>
      </x:c>
      <x:c r="AP28" s="122"/>
      <x:c r="AQ28" s="122"/>
      <x:c r="AR28" s="122" t="str">
        <x:v>10,000円以上は添付必須</x:v>
      </x:c>
      <x:c r="AS28" s="122"/>
      <x:c r="AT28" s="122"/>
      <x:c r="AU28" s="122"/>
      <x:c r="AV28" s="122"/>
      <x:c r="AW28" s="122"/>
      <x:c r="AX28" s="122"/>
      <x:c r="AY28" s="122"/>
      <x:c r="AZ28" s="2"/>
    </x:row>
    <x:row r="29" ht="13.5" customHeight="1">
      <x:c r="A29" s="2"/>
      <x:c r="B29" s="2"/>
      <x:c r="C29" s="2"/>
      <x:c r="D29" s="50"/>
      <x:c r="E29" s="50"/>
      <x:c r="F29" s="50"/>
      <x:c r="G29" s="50"/>
      <x:c r="H29" s="50"/>
      <x:c r="I29" s="50"/>
      <x:c r="J29" s="50"/>
      <x:c r="K29" s="912"/>
      <x:c r="L29" s="912"/>
      <x:c r="M29" s="912"/>
      <x:c r="N29" s="912"/>
      <x:c r="O29" s="912"/>
      <x:c r="P29" s="912"/>
      <x:c r="Q29" s="912"/>
      <x:c r="R29" s="912"/>
      <x:c r="S29" s="912"/>
      <x:c r="T29" s="912"/>
      <x:c r="U29" s="912"/>
      <x:c r="V29" s="91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 ht="13.5" customHeight="1">
      <x:c r="A30" s="2"/>
      <x:c r="B30" s="2"/>
      <x:c r="C30" s="2"/>
      <x:c r="D30" s="50"/>
      <x:c r="E30" s="50"/>
      <x:c r="F30" s="50"/>
      <x:c r="G30" s="50"/>
      <x:c r="H30" s="50"/>
      <x:c r="I30" s="50"/>
      <x:c r="J30" s="50"/>
      <x:c r="K30" s="912"/>
      <x:c r="L30" s="912"/>
      <x:c r="M30" s="912"/>
      <x:c r="N30" s="912"/>
      <x:c r="O30" s="912"/>
      <x:c r="P30" s="912"/>
      <x:c r="Q30" s="912"/>
      <x:c r="R30" s="912"/>
      <x:c r="S30" s="912"/>
      <x:c r="T30" s="912"/>
      <x:c r="U30" s="912"/>
      <x:c r="V30" s="91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 ht="13.5" customHeight="1">
      <x:c r="A31" s="2"/>
      <x:c r="B31" s="2"/>
      <x:c r="C31" s="2"/>
      <x:c r="D31" s="50"/>
      <x:c r="E31" s="50"/>
      <x:c r="F31" s="50"/>
      <x:c r="G31" s="50"/>
      <x:c r="H31" s="50"/>
      <x:c r="I31" s="50"/>
      <x:c r="J31" s="50"/>
      <x:c r="K31" s="912"/>
      <x:c r="L31" s="912"/>
      <x:c r="M31" s="912"/>
      <x:c r="N31" s="912"/>
      <x:c r="O31" s="912"/>
      <x:c r="P31" s="912"/>
      <x:c r="Q31" s="912"/>
      <x:c r="R31" s="912"/>
      <x:c r="S31" s="912"/>
      <x:c r="T31" s="912"/>
      <x:c r="U31" s="912"/>
      <x:c r="V31" s="912"/>
      <x:c r="W31" s="2"/>
      <x:c r="X31" s="2"/>
      <x:c r="Y31" s="2"/>
      <x:c r="Z31" s="2"/>
      <x:c r="AA31" s="2"/>
      <x:c r="AB31" s="940" t="str">
        <x:v>総合判定</x:v>
      </x:c>
      <x:c r="AC31" s="941"/>
      <x:c r="AD31" s="941"/>
      <x:c r="AE31" s="941"/>
      <x:c r="AF31" s="941"/>
      <x:c r="AG31" s="941"/>
      <x:c r="AH31" s="941"/>
      <x:c r="AI31" s="941"/>
      <x:c r="AJ31" s="941"/>
      <x:c r="AK31" s="941"/>
      <x:c r="AL31" s="941"/>
      <x:c r="AM31" s="942"/>
      <x:c r="AN31" s="1010" t="str">
        <x:f>IF(COUNTIF(AO23:AO28,"NG")=0,"入力OK","要修正")</x:f>
        <x:v>入力OK</x:v>
      </x:c>
      <x:c r="AO31" s="1011"/>
      <x:c r="AP31" s="1011"/>
      <x:c r="AQ31" s="1011"/>
      <x:c r="AR31" s="1011"/>
      <x:c r="AS31" s="1011"/>
      <x:c r="AT31" s="1011"/>
      <x:c r="AU31" s="1011"/>
      <x:c r="AV31" s="1011"/>
      <x:c r="AW31" s="1011"/>
      <x:c r="AX31" s="1011"/>
      <x:c r="AY31" s="1012"/>
      <x:c r="AZ31" s="2"/>
    </x:row>
    <x:row r="32" ht="13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943"/>
      <x:c r="AC32" s="944"/>
      <x:c r="AD32" s="944"/>
      <x:c r="AE32" s="944"/>
      <x:c r="AF32" s="944"/>
      <x:c r="AG32" s="944"/>
      <x:c r="AH32" s="944"/>
      <x:c r="AI32" s="944"/>
      <x:c r="AJ32" s="944"/>
      <x:c r="AK32" s="944"/>
      <x:c r="AL32" s="944"/>
      <x:c r="AM32" s="945"/>
      <x:c r="AN32" s="1013"/>
      <x:c r="AO32" s="1014"/>
      <x:c r="AP32" s="1014"/>
      <x:c r="AQ32" s="1014"/>
      <x:c r="AR32" s="1014"/>
      <x:c r="AS32" s="1014"/>
      <x:c r="AT32" s="1014"/>
      <x:c r="AU32" s="1014"/>
      <x:c r="AV32" s="1014"/>
      <x:c r="AW32" s="1014"/>
      <x:c r="AX32" s="1014"/>
      <x:c r="AY32" s="1015"/>
      <x:c r="AZ32" s="2"/>
    </x:row>
    <x:row r="33" ht="13.5" customHeight="1">
      <x:c r="A33" s="2"/>
      <x:c r="B33" s="2"/>
      <x:c r="C33" s="2"/>
      <x:c r="D33" s="50" t="str">
        <x:v>税区分 *</x:v>
      </x:c>
      <x:c r="E33" s="50"/>
      <x:c r="F33" s="50"/>
      <x:c r="G33" s="50"/>
      <x:c r="H33" s="50"/>
      <x:c r="I33" s="50"/>
      <x:c r="J33" s="50"/>
      <x:c r="K33" s="56" t="str">
        <x:v>10%</x:v>
      </x:c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2"/>
      <x:c r="X33" s="2"/>
      <x:c r="Y33" s="2"/>
      <x:c r="Z33" s="2"/>
      <x:c r="AA33" s="2"/>
      <x:c r="AB33" s="943"/>
      <x:c r="AC33" s="944"/>
      <x:c r="AD33" s="944"/>
      <x:c r="AE33" s="944"/>
      <x:c r="AF33" s="944"/>
      <x:c r="AG33" s="944"/>
      <x:c r="AH33" s="944"/>
      <x:c r="AI33" s="944"/>
      <x:c r="AJ33" s="944"/>
      <x:c r="AK33" s="944"/>
      <x:c r="AL33" s="944"/>
      <x:c r="AM33" s="945"/>
      <x:c r="AN33" s="1013"/>
      <x:c r="AO33" s="1014"/>
      <x:c r="AP33" s="1014"/>
      <x:c r="AQ33" s="1014"/>
      <x:c r="AR33" s="1014"/>
      <x:c r="AS33" s="1014"/>
      <x:c r="AT33" s="1014"/>
      <x:c r="AU33" s="1014"/>
      <x:c r="AV33" s="1014"/>
      <x:c r="AW33" s="1014"/>
      <x:c r="AX33" s="1014"/>
      <x:c r="AY33" s="1015"/>
      <x:c r="AZ33" s="2"/>
    </x:row>
    <x:row r="34" ht="13.5" customHeight="1">
      <x:c r="A34" s="2"/>
      <x:c r="B34" s="2"/>
      <x:c r="C34" s="2"/>
      <x:c r="D34" s="50"/>
      <x:c r="E34" s="50"/>
      <x:c r="F34" s="50"/>
      <x:c r="G34" s="50"/>
      <x:c r="H34" s="50"/>
      <x:c r="I34" s="50"/>
      <x:c r="J34" s="50"/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2"/>
      <x:c r="X34" s="2"/>
      <x:c r="Y34" s="2"/>
      <x:c r="Z34" s="2"/>
      <x:c r="AA34" s="2"/>
      <x:c r="AB34" s="946"/>
      <x:c r="AC34" s="947"/>
      <x:c r="AD34" s="947"/>
      <x:c r="AE34" s="947"/>
      <x:c r="AF34" s="947"/>
      <x:c r="AG34" s="947"/>
      <x:c r="AH34" s="947"/>
      <x:c r="AI34" s="947"/>
      <x:c r="AJ34" s="947"/>
      <x:c r="AK34" s="947"/>
      <x:c r="AL34" s="947"/>
      <x:c r="AM34" s="948"/>
      <x:c r="AN34" s="1016"/>
      <x:c r="AO34" s="1017"/>
      <x:c r="AP34" s="1017"/>
      <x:c r="AQ34" s="1017"/>
      <x:c r="AR34" s="1017"/>
      <x:c r="AS34" s="1017"/>
      <x:c r="AT34" s="1017"/>
      <x:c r="AU34" s="1017"/>
      <x:c r="AV34" s="1017"/>
      <x:c r="AW34" s="1017"/>
      <x:c r="AX34" s="1017"/>
      <x:c r="AY34" s="1018"/>
      <x:c r="AZ34" s="2"/>
    </x:row>
    <x:row r="35" ht="13.5" customHeight="1">
      <x:c r="A35" s="2"/>
      <x:c r="B35" s="2"/>
      <x:c r="C35" s="2"/>
      <x:c r="D35" s="50"/>
      <x:c r="E35" s="50"/>
      <x:c r="F35" s="50"/>
      <x:c r="G35" s="50"/>
      <x:c r="H35" s="50"/>
      <x:c r="I35" s="50"/>
      <x:c r="J35" s="50"/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 ht="13.5" customHeight="1">
      <x:c r="A36" s="2"/>
      <x:c r="B36" s="2"/>
      <x:c r="C36" s="2"/>
      <x:c r="D36" s="50"/>
      <x:c r="E36" s="50"/>
      <x:c r="F36" s="50"/>
      <x:c r="G36" s="50"/>
      <x:c r="H36" s="50"/>
      <x:c r="I36" s="50"/>
      <x:c r="J36" s="50"/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 ht="13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 ht="13.5" customHeight="1">
      <x:c r="A38" s="2"/>
      <x:c r="B38" s="2"/>
      <x:c r="C38" s="2"/>
      <x:c r="D38" s="50" t="str">
        <x:v>領収書</x:v>
      </x:c>
      <x:c r="E38" s="50"/>
      <x:c r="F38" s="50"/>
      <x:c r="G38" s="50"/>
      <x:c r="H38" s="50"/>
      <x:c r="I38" s="50"/>
      <x:c r="J38" s="50"/>
      <x:c r="K38" s="56" t="str">
        <x:v>有</x:v>
      </x:c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2"/>
      <x:c r="X38" s="2"/>
      <x:c r="Y38" s="2"/>
      <x:c r="Z38" s="2"/>
      <x:c r="AA38" s="2"/>
      <x:c r="AB38" s="77" t="str">
        <x:v>5.4 メッセージ定義</x:v>
      </x:c>
      <x:c r="AC38" s="78"/>
      <x:c r="AD38" s="78"/>
      <x:c r="AE38" s="78"/>
      <x:c r="AF38" s="78"/>
      <x:c r="AG38" s="78"/>
      <x:c r="AH38" s="78"/>
      <x:c r="AI38" s="78"/>
      <x:c r="AJ38" s="78"/>
      <x:c r="AK38" s="78"/>
      <x:c r="AL38" s="78"/>
      <x:c r="AM38" s="78"/>
      <x:c r="AN38" s="78"/>
      <x:c r="AO38" s="78"/>
      <x:c r="AP38" s="78"/>
      <x:c r="AQ38" s="78"/>
      <x:c r="AR38" s="78"/>
      <x:c r="AS38" s="78"/>
      <x:c r="AT38" s="78"/>
      <x:c r="AU38" s="78"/>
      <x:c r="AV38" s="78"/>
      <x:c r="AW38" s="78"/>
      <x:c r="AX38" s="78"/>
      <x:c r="AY38" s="79"/>
      <x:c r="AZ38" s="2"/>
    </x:row>
    <x:row r="39" ht="13.5" customHeight="1">
      <x:c r="A39" s="2"/>
      <x:c r="B39" s="2"/>
      <x:c r="C39" s="2"/>
      <x:c r="D39" s="50"/>
      <x:c r="E39" s="50"/>
      <x:c r="F39" s="50"/>
      <x:c r="G39" s="50"/>
      <x:c r="H39" s="50"/>
      <x:c r="I39" s="50"/>
      <x:c r="J39" s="50"/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2"/>
      <x:c r="X39" s="2"/>
      <x:c r="Y39" s="2"/>
      <x:c r="Z39" s="2"/>
      <x:c r="AA39" s="2"/>
      <x:c r="AB39" s="80"/>
      <x:c r="AC39" s="81"/>
      <x:c r="AD39" s="81"/>
      <x:c r="AE39" s="81"/>
      <x:c r="AF39" s="81"/>
      <x:c r="AG39" s="81"/>
      <x:c r="AH39" s="81"/>
      <x:c r="AI39" s="81"/>
      <x:c r="AJ39" s="81"/>
      <x:c r="AK39" s="81"/>
      <x:c r="AL39" s="81"/>
      <x:c r="AM39" s="81"/>
      <x:c r="AN39" s="81"/>
      <x:c r="AO39" s="81"/>
      <x:c r="AP39" s="81"/>
      <x:c r="AQ39" s="81"/>
      <x:c r="AR39" s="81"/>
      <x:c r="AS39" s="81"/>
      <x:c r="AT39" s="81"/>
      <x:c r="AU39" s="81"/>
      <x:c r="AV39" s="81"/>
      <x:c r="AW39" s="81"/>
      <x:c r="AX39" s="81"/>
      <x:c r="AY39" s="82"/>
      <x:c r="AZ39" s="2"/>
    </x:row>
    <x:row r="40" ht="13.5" customHeight="1">
      <x:c r="A40" s="2"/>
      <x:c r="B40" s="2"/>
      <x:c r="C40" s="2"/>
      <x:c r="D40" s="50"/>
      <x:c r="E40" s="50"/>
      <x:c r="F40" s="50"/>
      <x:c r="G40" s="50"/>
      <x:c r="H40" s="50"/>
      <x:c r="I40" s="50"/>
      <x:c r="J40" s="50"/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 ht="13.5" customHeight="1">
      <x:c r="A41" s="2"/>
      <x:c r="B41" s="2"/>
      <x:c r="C41" s="2"/>
      <x:c r="D41" s="50"/>
      <x:c r="E41" s="50"/>
      <x:c r="F41" s="50"/>
      <x:c r="G41" s="50"/>
      <x:c r="H41" s="50"/>
      <x:c r="I41" s="50"/>
      <x:c r="J41" s="50"/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2"/>
      <x:c r="X41" s="2"/>
      <x:c r="Y41" s="2"/>
      <x:c r="Z41" s="2"/>
      <x:c r="AA41" s="2"/>
      <x:c r="AB41" s="127" t="str">
        <x:v>コード</x:v>
      </x:c>
      <x:c r="AC41" s="127"/>
      <x:c r="AD41" s="127"/>
      <x:c r="AE41" s="127"/>
      <x:c r="AF41" s="127"/>
      <x:c r="AG41" s="127"/>
      <x:c r="AH41" s="127" t="str">
        <x:v>表示メッセージ</x:v>
      </x:c>
      <x:c r="AI41" s="127"/>
      <x:c r="AJ41" s="127"/>
      <x:c r="AK41" s="127"/>
      <x:c r="AL41" s="127"/>
      <x:c r="AM41" s="127"/>
      <x:c r="AN41" s="127"/>
      <x:c r="AO41" s="127"/>
      <x:c r="AP41" s="127"/>
      <x:c r="AQ41" s="127"/>
      <x:c r="AR41" s="127"/>
      <x:c r="AS41" s="127"/>
      <x:c r="AT41" s="127" t="str">
        <x:v>表示箇所</x:v>
      </x:c>
      <x:c r="AU41" s="127"/>
      <x:c r="AV41" s="127"/>
      <x:c r="AW41" s="127"/>
      <x:c r="AX41" s="127"/>
      <x:c r="AY41" s="127"/>
      <x:c r="AZ41" s="2"/>
    </x:row>
    <x:row r="42" ht="13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10" t="str">
        <x:v>EXP-E001</x:v>
      </x:c>
      <x:c r="AC42" s="210"/>
      <x:c r="AD42" s="210"/>
      <x:c r="AE42" s="210"/>
      <x:c r="AF42" s="210"/>
      <x:c r="AG42" s="210"/>
      <x:c r="AH42" s="210" t="str">
        <x:v>申請日を入力してください。</x:v>
      </x:c>
      <x:c r="AI42" s="210"/>
      <x:c r="AJ42" s="210"/>
      <x:c r="AK42" s="210"/>
      <x:c r="AL42" s="210"/>
      <x:c r="AM42" s="210"/>
      <x:c r="AN42" s="210"/>
      <x:c r="AO42" s="210"/>
      <x:c r="AP42" s="210"/>
      <x:c r="AQ42" s="210"/>
      <x:c r="AR42" s="210"/>
      <x:c r="AS42" s="210"/>
      <x:c r="AT42" s="210" t="str">
        <x:v>申請日直下</x:v>
      </x:c>
      <x:c r="AU42" s="210"/>
      <x:c r="AV42" s="210"/>
      <x:c r="AW42" s="210"/>
      <x:c r="AX42" s="210"/>
      <x:c r="AY42" s="210"/>
      <x:c r="AZ42" s="2"/>
    </x:row>
    <x:row r="43" ht="13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10" t="str">
        <x:v>EXP-E002</x:v>
      </x:c>
      <x:c r="AC43" s="210"/>
      <x:c r="AD43" s="210"/>
      <x:c r="AE43" s="210"/>
      <x:c r="AF43" s="210"/>
      <x:c r="AG43" s="210"/>
      <x:c r="AH43" s="210" t="str">
        <x:v>有効な部門コードを入力してください。</x:v>
      </x:c>
      <x:c r="AI43" s="210"/>
      <x:c r="AJ43" s="210"/>
      <x:c r="AK43" s="210"/>
      <x:c r="AL43" s="210"/>
      <x:c r="AM43" s="210"/>
      <x:c r="AN43" s="210"/>
      <x:c r="AO43" s="210"/>
      <x:c r="AP43" s="210"/>
      <x:c r="AQ43" s="210"/>
      <x:c r="AR43" s="210"/>
      <x:c r="AS43" s="210"/>
      <x:c r="AT43" s="210" t="str">
        <x:v>部門コード直下</x:v>
      </x:c>
      <x:c r="AU43" s="210"/>
      <x:c r="AV43" s="210"/>
      <x:c r="AW43" s="210"/>
      <x:c r="AX43" s="210"/>
      <x:c r="AY43" s="210"/>
      <x:c r="AZ43" s="2"/>
    </x:row>
    <x:row r="44" ht="13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10" t="str">
        <x:v>EXP-E003</x:v>
      </x:c>
      <x:c r="AC44" s="210"/>
      <x:c r="AD44" s="210"/>
      <x:c r="AE44" s="210"/>
      <x:c r="AF44" s="210"/>
      <x:c r="AG44" s="210"/>
      <x:c r="AH44" s="210" t="str">
        <x:v>摘要は1〜100文字で入力してください。</x:v>
      </x:c>
      <x:c r="AI44" s="210"/>
      <x:c r="AJ44" s="210"/>
      <x:c r="AK44" s="210"/>
      <x:c r="AL44" s="210"/>
      <x:c r="AM44" s="210"/>
      <x:c r="AN44" s="210"/>
      <x:c r="AO44" s="210"/>
      <x:c r="AP44" s="210"/>
      <x:c r="AQ44" s="210"/>
      <x:c r="AR44" s="210"/>
      <x:c r="AS44" s="210"/>
      <x:c r="AT44" s="210" t="str">
        <x:v>摘要直下</x:v>
      </x:c>
      <x:c r="AU44" s="210"/>
      <x:c r="AV44" s="210"/>
      <x:c r="AW44" s="210"/>
      <x:c r="AX44" s="210"/>
      <x:c r="AY44" s="210"/>
      <x:c r="AZ44" s="2"/>
    </x:row>
    <x:row r="45" ht="13.5" customHeight="1">
      <x:c r="A45" s="2"/>
      <x:c r="B45" s="2"/>
      <x:c r="C45" s="2"/>
      <x:c r="D45" s="2"/>
      <x:c r="E45" s="2"/>
      <x:c r="F45" s="940" t="str">
        <x:v>一時保存</x:v>
      </x:c>
      <x:c r="G45" s="941"/>
      <x:c r="H45" s="941"/>
      <x:c r="I45" s="941"/>
      <x:c r="J45" s="941"/>
      <x:c r="K45" s="941"/>
      <x:c r="L45" s="942"/>
      <x:c r="M45" s="2"/>
      <x:c r="N45" s="973" t="str">
        <x:v>申請する</x:v>
      </x:c>
      <x:c r="O45" s="974"/>
      <x:c r="P45" s="974"/>
      <x:c r="Q45" s="974"/>
      <x:c r="R45" s="974"/>
      <x:c r="S45" s="974"/>
      <x:c r="T45" s="974"/>
      <x:c r="U45" s="974"/>
      <x:c r="V45" s="975"/>
      <x:c r="W45" s="2"/>
      <x:c r="X45" s="2"/>
      <x:c r="Y45" s="2"/>
      <x:c r="Z45" s="2"/>
      <x:c r="AA45" s="2"/>
      <x:c r="AB45" s="210" t="str">
        <x:v>EXP-E004</x:v>
      </x:c>
      <x:c r="AC45" s="210"/>
      <x:c r="AD45" s="210"/>
      <x:c r="AE45" s="210"/>
      <x:c r="AF45" s="210"/>
      <x:c r="AG45" s="210"/>
      <x:c r="AH45" s="210" t="str">
        <x:v>金額は1〜9,999,999円で入力してください。</x:v>
      </x:c>
      <x:c r="AI45" s="210"/>
      <x:c r="AJ45" s="210"/>
      <x:c r="AK45" s="210"/>
      <x:c r="AL45" s="210"/>
      <x:c r="AM45" s="210"/>
      <x:c r="AN45" s="210"/>
      <x:c r="AO45" s="210"/>
      <x:c r="AP45" s="210"/>
      <x:c r="AQ45" s="210"/>
      <x:c r="AR45" s="210"/>
      <x:c r="AS45" s="210"/>
      <x:c r="AT45" s="210" t="str">
        <x:v>金額直下</x:v>
      </x:c>
      <x:c r="AU45" s="210"/>
      <x:c r="AV45" s="210"/>
      <x:c r="AW45" s="210"/>
      <x:c r="AX45" s="210"/>
      <x:c r="AY45" s="210"/>
      <x:c r="AZ45" s="2"/>
    </x:row>
    <x:row r="46" ht="13.5" customHeight="1">
      <x:c r="A46" s="2"/>
      <x:c r="B46" s="2"/>
      <x:c r="C46" s="2"/>
      <x:c r="D46" s="2"/>
      <x:c r="E46" s="2"/>
      <x:c r="F46" s="943"/>
      <x:c r="G46" s="944"/>
      <x:c r="H46" s="944"/>
      <x:c r="I46" s="944"/>
      <x:c r="J46" s="944"/>
      <x:c r="K46" s="944"/>
      <x:c r="L46" s="945"/>
      <x:c r="M46" s="2"/>
      <x:c r="N46" s="976"/>
      <x:c r="O46" s="646"/>
      <x:c r="P46" s="646"/>
      <x:c r="Q46" s="646"/>
      <x:c r="R46" s="646"/>
      <x:c r="S46" s="646"/>
      <x:c r="T46" s="646"/>
      <x:c r="U46" s="646"/>
      <x:c r="V46" s="977"/>
      <x:c r="W46" s="2"/>
      <x:c r="X46" s="2"/>
      <x:c r="Y46" s="2"/>
      <x:c r="Z46" s="2"/>
      <x:c r="AA46" s="2"/>
      <x:c r="AB46" s="210" t="str">
        <x:v>EXP-E006</x:v>
      </x:c>
      <x:c r="AC46" s="210"/>
      <x:c r="AD46" s="210"/>
      <x:c r="AE46" s="210"/>
      <x:c r="AF46" s="210"/>
      <x:c r="AG46" s="210"/>
      <x:c r="AH46" s="210" t="str">
        <x:v>10,000円以上の申請には領収書が必要です。</x:v>
      </x:c>
      <x:c r="AI46" s="210"/>
      <x:c r="AJ46" s="210"/>
      <x:c r="AK46" s="210"/>
      <x:c r="AL46" s="210"/>
      <x:c r="AM46" s="210"/>
      <x:c r="AN46" s="210"/>
      <x:c r="AO46" s="210"/>
      <x:c r="AP46" s="210"/>
      <x:c r="AQ46" s="210"/>
      <x:c r="AR46" s="210"/>
      <x:c r="AS46" s="210"/>
      <x:c r="AT46" s="210" t="str">
        <x:v>領収書直下</x:v>
      </x:c>
      <x:c r="AU46" s="210"/>
      <x:c r="AV46" s="210"/>
      <x:c r="AW46" s="210"/>
      <x:c r="AX46" s="210"/>
      <x:c r="AY46" s="210"/>
      <x:c r="AZ46" s="2"/>
    </x:row>
    <x:row r="47" ht="13.5" customHeight="1">
      <x:c r="A47" s="2"/>
      <x:c r="B47" s="2"/>
      <x:c r="C47" s="2"/>
      <x:c r="D47" s="2"/>
      <x:c r="E47" s="2"/>
      <x:c r="F47" s="943"/>
      <x:c r="G47" s="944"/>
      <x:c r="H47" s="944"/>
      <x:c r="I47" s="944"/>
      <x:c r="J47" s="944"/>
      <x:c r="K47" s="944"/>
      <x:c r="L47" s="945"/>
      <x:c r="M47" s="2"/>
      <x:c r="N47" s="976"/>
      <x:c r="O47" s="646"/>
      <x:c r="P47" s="646"/>
      <x:c r="Q47" s="646"/>
      <x:c r="R47" s="646"/>
      <x:c r="S47" s="646"/>
      <x:c r="T47" s="646"/>
      <x:c r="U47" s="646"/>
      <x:c r="V47" s="977"/>
      <x:c r="W47" s="2"/>
      <x:c r="X47" s="2"/>
      <x:c r="Y47" s="2"/>
      <x:c r="Z47" s="2"/>
      <x:c r="AA47" s="2"/>
      <x:c r="AB47" s="210" t="str">
        <x:v>EXP-E409</x:v>
      </x:c>
      <x:c r="AC47" s="210"/>
      <x:c r="AD47" s="210"/>
      <x:c r="AE47" s="210"/>
      <x:c r="AF47" s="210"/>
      <x:c r="AG47" s="210"/>
      <x:c r="AH47" s="210" t="str">
        <x:v>この申請は既に受け付けています。</x:v>
      </x:c>
      <x:c r="AI47" s="210"/>
      <x:c r="AJ47" s="210"/>
      <x:c r="AK47" s="210"/>
      <x:c r="AL47" s="210"/>
      <x:c r="AM47" s="210"/>
      <x:c r="AN47" s="210"/>
      <x:c r="AO47" s="210"/>
      <x:c r="AP47" s="210"/>
      <x:c r="AQ47" s="210"/>
      <x:c r="AR47" s="210"/>
      <x:c r="AS47" s="210"/>
      <x:c r="AT47" s="210" t="str">
        <x:v>画面上部</x:v>
      </x:c>
      <x:c r="AU47" s="210"/>
      <x:c r="AV47" s="210"/>
      <x:c r="AW47" s="210"/>
      <x:c r="AX47" s="210"/>
      <x:c r="AY47" s="210"/>
      <x:c r="AZ47" s="2"/>
    </x:row>
    <x:row r="48" ht="13.5" customHeight="1">
      <x:c r="A48" s="2"/>
      <x:c r="B48" s="2"/>
      <x:c r="C48" s="2"/>
      <x:c r="D48" s="2"/>
      <x:c r="E48" s="2"/>
      <x:c r="F48" s="946"/>
      <x:c r="G48" s="947"/>
      <x:c r="H48" s="947"/>
      <x:c r="I48" s="947"/>
      <x:c r="J48" s="947"/>
      <x:c r="K48" s="947"/>
      <x:c r="L48" s="948"/>
      <x:c r="M48" s="2"/>
      <x:c r="N48" s="978"/>
      <x:c r="O48" s="979"/>
      <x:c r="P48" s="979"/>
      <x:c r="Q48" s="979"/>
      <x:c r="R48" s="979"/>
      <x:c r="S48" s="979"/>
      <x:c r="T48" s="979"/>
      <x:c r="U48" s="979"/>
      <x:c r="V48" s="980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 ht="13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 ht="13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 ht="13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 ht="13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 ht="13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 ht="13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 ht="13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 ht="13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 ht="13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 ht="13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 ht="13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 ht="13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 ht="13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 ht="13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 ht="13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 ht="13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 ht="13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 ht="13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 ht="13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 ht="13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 ht="13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 ht="13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 ht="13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 ht="13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 ht="13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 ht="13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 ht="13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 ht="13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 ht="13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 ht="13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 ht="13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 ht="13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 ht="13.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 ht="13.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 ht="13.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 ht="13.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 ht="13.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 ht="13.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 ht="13.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 ht="13.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</x:sheetData>
  <x:mergeCells>
    <x:mergeCell ref="A1:AZ2"/>
    <x:mergeCell ref="A3:AZ3"/>
    <x:mergeCell ref="A4:L4"/>
    <x:mergeCell ref="M4:R4"/>
    <x:mergeCell ref="S4:AE4"/>
    <x:mergeCell ref="AF4:AQ4"/>
    <x:mergeCell ref="AR4:AZ4"/>
    <x:mergeCell ref="B5:Y6"/>
    <x:mergeCell ref="C8:X10"/>
    <x:mergeCell ref="D13:J16"/>
    <x:mergeCell ref="K13:V16"/>
    <x:mergeCell ref="D18:J21"/>
    <x:mergeCell ref="K18:V21"/>
    <x:mergeCell ref="D23:J26"/>
    <x:mergeCell ref="K23:V26"/>
    <x:mergeCell ref="D28:J31"/>
    <x:mergeCell ref="K28:V31"/>
    <x:mergeCell ref="D33:J36"/>
    <x:mergeCell ref="K33:V36"/>
    <x:mergeCell ref="D38:J41"/>
    <x:mergeCell ref="K38:V41"/>
    <x:mergeCell ref="F45:L48"/>
    <x:mergeCell ref="N45:V48"/>
    <x:mergeCell ref="AB5:AY6"/>
    <x:mergeCell ref="AB8:AE8"/>
    <x:mergeCell ref="AF8:AJ8"/>
    <x:mergeCell ref="AK8:AN8"/>
    <x:mergeCell ref="AO8:AQ8"/>
    <x:mergeCell ref="AR8:AV8"/>
    <x:mergeCell ref="AW8:AY8"/>
    <x:mergeCell ref="AB9:AE9"/>
    <x:mergeCell ref="AF9:AJ9"/>
    <x:mergeCell ref="AK9:AN9"/>
    <x:mergeCell ref="AO9:AQ9"/>
    <x:mergeCell ref="AR9:AV9"/>
    <x:mergeCell ref="AW9:AY9"/>
    <x:mergeCell ref="AB10:AE10"/>
    <x:mergeCell ref="AF10:AJ10"/>
    <x:mergeCell ref="AK10:AN10"/>
    <x:mergeCell ref="AO10:AQ10"/>
    <x:mergeCell ref="AR10:AV10"/>
    <x:mergeCell ref="AW10:AY10"/>
    <x:mergeCell ref="AB11:AE11"/>
    <x:mergeCell ref="AF11:AJ11"/>
    <x:mergeCell ref="AK11:AN11"/>
    <x:mergeCell ref="AO11:AQ11"/>
    <x:mergeCell ref="AR11:AV11"/>
    <x:mergeCell ref="AW11:AY11"/>
    <x:mergeCell ref="AB12:AE12"/>
    <x:mergeCell ref="AF12:AJ12"/>
    <x:mergeCell ref="AK12:AN12"/>
    <x:mergeCell ref="AO12:AQ12"/>
    <x:mergeCell ref="AR12:AV12"/>
    <x:mergeCell ref="AW12:AY12"/>
    <x:mergeCell ref="AB13:AE13"/>
    <x:mergeCell ref="AF13:AJ13"/>
    <x:mergeCell ref="AK13:AN13"/>
    <x:mergeCell ref="AO13:AQ13"/>
    <x:mergeCell ref="AR13:AV13"/>
    <x:mergeCell ref="AW13:AY13"/>
    <x:mergeCell ref="AB14:AE14"/>
    <x:mergeCell ref="AF14:AJ14"/>
    <x:mergeCell ref="AK14:AN14"/>
    <x:mergeCell ref="AO14:AQ14"/>
    <x:mergeCell ref="AR14:AV14"/>
    <x:mergeCell ref="AW14:AY14"/>
    <x:mergeCell ref="AB15:AE15"/>
    <x:mergeCell ref="AF15:AJ15"/>
    <x:mergeCell ref="AK15:AN15"/>
    <x:mergeCell ref="AO15:AQ15"/>
    <x:mergeCell ref="AR15:AV15"/>
    <x:mergeCell ref="AW15:AY15"/>
    <x:mergeCell ref="AB19:AY20"/>
    <x:mergeCell ref="AB22:AH22"/>
    <x:mergeCell ref="AI22:AN22"/>
    <x:mergeCell ref="AO22:AQ22"/>
    <x:mergeCell ref="AR22:AY22"/>
    <x:mergeCell ref="AB23:AH23"/>
    <x:mergeCell ref="AI23:AN23"/>
    <x:mergeCell ref="AO23:AQ23"/>
    <x:mergeCell ref="AR23:AY23"/>
    <x:mergeCell ref="AB24:AH24"/>
    <x:mergeCell ref="AI24:AN24"/>
    <x:mergeCell ref="AO24:AQ24"/>
    <x:mergeCell ref="AR24:AY24"/>
    <x:mergeCell ref="AB25:AH25"/>
    <x:mergeCell ref="AI25:AN25"/>
    <x:mergeCell ref="AO25:AQ25"/>
    <x:mergeCell ref="AR25:AY25"/>
    <x:mergeCell ref="AB26:AH26"/>
    <x:mergeCell ref="AI26:AN26"/>
    <x:mergeCell ref="AO26:AQ26"/>
    <x:mergeCell ref="AR26:AY26"/>
    <x:mergeCell ref="AB27:AH27"/>
    <x:mergeCell ref="AI27:AN27"/>
    <x:mergeCell ref="AO27:AQ27"/>
    <x:mergeCell ref="AR27:AY27"/>
    <x:mergeCell ref="AB28:AH28"/>
    <x:mergeCell ref="AI28:AN28"/>
    <x:mergeCell ref="AO28:AQ28"/>
    <x:mergeCell ref="AR28:AY28"/>
    <x:mergeCell ref="AB31:AM34"/>
    <x:mergeCell ref="AN31:AY34"/>
    <x:mergeCell ref="AB38:AY39"/>
    <x:mergeCell ref="AB41:AG41"/>
    <x:mergeCell ref="AH41:AS41"/>
    <x:mergeCell ref="AT41:AY41"/>
    <x:mergeCell ref="AB42:AG42"/>
    <x:mergeCell ref="AH42:AS42"/>
    <x:mergeCell ref="AT42:AY42"/>
    <x:mergeCell ref="AB43:AG43"/>
    <x:mergeCell ref="AH43:AS43"/>
    <x:mergeCell ref="AT43:AY43"/>
    <x:mergeCell ref="AB44:AG44"/>
    <x:mergeCell ref="AH44:AS44"/>
    <x:mergeCell ref="AT44:AY44"/>
    <x:mergeCell ref="AB45:AG45"/>
    <x:mergeCell ref="AH45:AS45"/>
    <x:mergeCell ref="AT45:AY45"/>
    <x:mergeCell ref="AB46:AG46"/>
    <x:mergeCell ref="AH46:AS46"/>
    <x:mergeCell ref="AT46:AY46"/>
    <x:mergeCell ref="AB47:AG47"/>
    <x:mergeCell ref="AH47:AS47"/>
    <x:mergeCell ref="AT47:AY47"/>
  </x:mergeCells>
  <x:conditionalFormatting sqref="AO23:AO28">
    <x:cfRule type="containsText" dxfId="0" priority="1" operator="containsText" text="NG"/>
    <x:cfRule type="containsText" dxfId="1" priority="2" operator="containsText" text="OK"/>
  </x:conditionalFormatting>
  <x:dataValidations count="2">
    <x:dataValidation type="list" sqref="AI27">
      <x:formula1>"10%,8%,非課税"</x:formula1>
    </x:dataValidation>
    <x:dataValidation type="list" sqref="AI28">
      <x:formula1>"有,無"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</x:cols>
  <x:sheetData>
    <x:row r="1" ht="13.5" customHeight="1">
      <x:c r="A1" s="131" t="str">
        <x:v>06 API・データ設計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  <x:c r="N1" s="131"/>
      <x:c r="O1" s="131"/>
      <x:c r="P1" s="131"/>
      <x:c r="Q1" s="131"/>
      <x:c r="R1" s="131"/>
      <x:c r="S1" s="131"/>
      <x:c r="T1" s="131"/>
      <x:c r="U1" s="131"/>
      <x:c r="V1" s="131"/>
      <x:c r="W1" s="131"/>
      <x:c r="X1" s="131"/>
      <x:c r="Y1" s="131"/>
      <x:c r="Z1" s="131"/>
      <x:c r="AA1" s="131"/>
      <x:c r="AB1" s="131"/>
      <x:c r="AC1" s="131"/>
      <x:c r="AD1" s="131"/>
      <x:c r="AE1" s="131"/>
      <x:c r="AF1" s="131"/>
      <x:c r="AG1" s="131"/>
      <x:c r="AH1" s="131"/>
      <x:c r="AI1" s="131"/>
      <x:c r="AJ1" s="131"/>
      <x:c r="AK1" s="131"/>
      <x:c r="AL1" s="131"/>
      <x:c r="AM1" s="131"/>
      <x:c r="AN1" s="131"/>
      <x:c r="AO1" s="131"/>
      <x:c r="AP1" s="131"/>
      <x:c r="AQ1" s="131"/>
      <x:c r="AR1" s="131"/>
      <x:c r="AS1" s="131"/>
      <x:c r="AT1" s="131"/>
      <x:c r="AU1" s="131"/>
      <x:c r="AV1" s="131"/>
      <x:c r="AW1" s="131"/>
      <x:c r="AX1" s="131"/>
      <x:c r="AY1" s="131"/>
      <x:c r="AZ1" s="131"/>
    </x:row>
    <x:row r="2" ht="13.5" customHeight="1">
      <x:c r="A2" s="131"/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  <x:c r="Q2" s="131"/>
      <x:c r="R2" s="131"/>
      <x:c r="S2" s="131"/>
      <x:c r="T2" s="131"/>
      <x:c r="U2" s="131"/>
      <x:c r="V2" s="131"/>
      <x:c r="W2" s="131"/>
      <x:c r="X2" s="131"/>
      <x:c r="Y2" s="131"/>
      <x:c r="Z2" s="131"/>
      <x:c r="AA2" s="131"/>
      <x:c r="AB2" s="131"/>
      <x:c r="AC2" s="131"/>
      <x:c r="AD2" s="131"/>
      <x:c r="AE2" s="131"/>
      <x:c r="AF2" s="131"/>
      <x:c r="AG2" s="131"/>
      <x:c r="AH2" s="131"/>
      <x:c r="AI2" s="131"/>
      <x:c r="AJ2" s="131"/>
      <x:c r="AK2" s="131"/>
      <x:c r="AL2" s="131"/>
      <x:c r="AM2" s="131"/>
      <x:c r="AN2" s="131"/>
      <x:c r="AO2" s="131"/>
      <x:c r="AP2" s="131"/>
      <x:c r="AQ2" s="131"/>
      <x:c r="AR2" s="131"/>
      <x:c r="AS2" s="131"/>
      <x:c r="AT2" s="131"/>
      <x:c r="AU2" s="131"/>
      <x:c r="AV2" s="131"/>
      <x:c r="AW2" s="131"/>
      <x:c r="AX2" s="131"/>
      <x:c r="AY2" s="131"/>
      <x:c r="AZ2" s="131"/>
    </x:row>
    <x:row r="3" ht="13.5" customHeight="1">
      <x:c r="A3" s="135" t="str">
        <x:v>API-01／TX-01／EVT-01。契約・永続化・イベント配送・監査ルールを相互参照する。</x:v>
      </x:c>
      <x:c r="B3" s="135"/>
      <x:c r="C3" s="135"/>
      <x:c r="D3" s="135"/>
      <x:c r="E3" s="135"/>
      <x:c r="F3" s="135"/>
      <x:c r="G3" s="135"/>
      <x:c r="H3" s="135"/>
      <x:c r="I3" s="135"/>
      <x:c r="J3" s="135"/>
      <x:c r="K3" s="135"/>
      <x:c r="L3" s="135"/>
      <x:c r="M3" s="135"/>
      <x:c r="N3" s="135"/>
      <x:c r="O3" s="135"/>
      <x:c r="P3" s="135"/>
      <x:c r="Q3" s="135"/>
      <x:c r="R3" s="135"/>
      <x:c r="S3" s="135"/>
      <x:c r="T3" s="135"/>
      <x:c r="U3" s="135"/>
      <x:c r="V3" s="135"/>
      <x:c r="W3" s="135"/>
      <x:c r="X3" s="135"/>
      <x:c r="Y3" s="135"/>
      <x:c r="Z3" s="135"/>
      <x:c r="AA3" s="135"/>
      <x:c r="AB3" s="135"/>
      <x:c r="AC3" s="135"/>
      <x:c r="AD3" s="135"/>
      <x:c r="AE3" s="135"/>
      <x:c r="AF3" s="135"/>
      <x:c r="AG3" s="135"/>
      <x:c r="AH3" s="135"/>
      <x:c r="AI3" s="135"/>
      <x:c r="AJ3" s="135"/>
      <x:c r="AK3" s="135"/>
      <x:c r="AL3" s="135"/>
      <x:c r="AM3" s="135"/>
      <x:c r="AN3" s="135"/>
      <x:c r="AO3" s="135"/>
      <x:c r="AP3" s="135"/>
      <x:c r="AQ3" s="135"/>
      <x:c r="AR3" s="135"/>
      <x:c r="AS3" s="135"/>
      <x:c r="AT3" s="135"/>
      <x:c r="AU3" s="135"/>
      <x:c r="AV3" s="135"/>
      <x:c r="AW3" s="135"/>
      <x:c r="AX3" s="135"/>
      <x:c r="AY3" s="135"/>
      <x:c r="AZ3" s="135"/>
    </x:row>
    <x:row r="4" ht="13.5" customHeight="1">
      <x:c r="A4" s="140" t="str">
        <x:v>文書ID: EXPS-DES-06</x:v>
      </x:c>
      <x:c r="B4" s="140"/>
      <x:c r="C4" s="140"/>
      <x:c r="D4" s="140"/>
      <x:c r="E4" s="140"/>
      <x:c r="F4" s="140"/>
      <x:c r="G4" s="140"/>
      <x:c r="H4" s="140"/>
      <x:c r="I4" s="140"/>
      <x:c r="J4" s="140"/>
      <x:c r="K4" s="140"/>
      <x:c r="L4" s="140"/>
      <x:c r="M4" s="140" t="str">
        <x:v>版: 1.2</x:v>
      </x:c>
      <x:c r="N4" s="140"/>
      <x:c r="O4" s="140"/>
      <x:c r="P4" s="140"/>
      <x:c r="Q4" s="140"/>
      <x:c r="R4" s="140"/>
      <x:c r="S4" s="140" t="str">
        <x:v>状態: レビュー中</x:v>
      </x:c>
      <x:c r="T4" s="140"/>
      <x:c r="U4" s="140"/>
      <x:c r="V4" s="140"/>
      <x:c r="W4" s="140"/>
      <x:c r="X4" s="140"/>
      <x:c r="Y4" s="140"/>
      <x:c r="Z4" s="140"/>
      <x:c r="AA4" s="140"/>
      <x:c r="AB4" s="140"/>
      <x:c r="AC4" s="140"/>
      <x:c r="AD4" s="140"/>
      <x:c r="AE4" s="140"/>
      <x:c r="AF4" s="140" t="str">
        <x:v>主管: 業務システム部</x:v>
      </x:c>
      <x:c r="AG4" s="140"/>
      <x:c r="AH4" s="140"/>
      <x:c r="AI4" s="140"/>
      <x:c r="AJ4" s="140"/>
      <x:c r="AK4" s="140"/>
      <x:c r="AL4" s="140"/>
      <x:c r="AM4" s="140"/>
      <x:c r="AN4" s="140"/>
      <x:c r="AO4" s="140"/>
      <x:c r="AP4" s="140"/>
      <x:c r="AQ4" s="140"/>
      <x:c r="AR4" s="140" t="str">
        <x:v>更新: 2026-08-23</x:v>
      </x:c>
      <x:c r="AS4" s="140"/>
      <x:c r="AT4" s="140"/>
      <x:c r="AU4" s="140"/>
      <x:c r="AV4" s="140"/>
      <x:c r="AW4" s="140"/>
      <x:c r="AX4" s="140"/>
      <x:c r="AY4" s="140"/>
      <x:c r="AZ4" s="140"/>
    </x:row>
    <x:row r="5" ht="13.5" customHeight="1">
      <x:c r="A5" s="77" t="str">
        <x:v>6.1 REST API一覧</x:v>
      </x:c>
      <x:c r="B5" s="78"/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  <x:c r="AA5" s="78"/>
      <x:c r="AB5" s="79"/>
      <x:c r="AC5" s="2"/>
      <x:c r="AD5" s="77" t="str">
        <x:v>6.2 POST /v1/expense-claims 契約</x:v>
      </x:c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8"/>
      <x:c r="AY5" s="78"/>
      <x:c r="AZ5" s="79"/>
    </x:row>
    <x:row r="6" ht="13.5" customHeight="1">
      <x:c r="A6" s="80"/>
      <x:c r="B6" s="81"/>
      <x:c r="C6" s="8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  <x:c r="AA6" s="81"/>
      <x:c r="AB6" s="82"/>
      <x:c r="AC6" s="2"/>
      <x:c r="AD6" s="80"/>
      <x:c r="AE6" s="81"/>
      <x:c r="AF6" s="81"/>
      <x:c r="AG6" s="81"/>
      <x:c r="AH6" s="81"/>
      <x:c r="AI6" s="81"/>
      <x:c r="AJ6" s="81"/>
      <x:c r="AK6" s="81"/>
      <x:c r="AL6" s="81"/>
      <x:c r="AM6" s="81"/>
      <x:c r="AN6" s="81"/>
      <x:c r="AO6" s="81"/>
      <x:c r="AP6" s="81"/>
      <x:c r="AQ6" s="81"/>
      <x:c r="AR6" s="81"/>
      <x:c r="AS6" s="81"/>
      <x:c r="AT6" s="81"/>
      <x:c r="AU6" s="81"/>
      <x:c r="AV6" s="81"/>
      <x:c r="AW6" s="81"/>
      <x:c r="AX6" s="81"/>
      <x:c r="AY6" s="81"/>
      <x:c r="AZ6" s="82"/>
    </x:row>
    <x:row r="7" ht="13.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13.5" customHeight="1">
      <x:c r="A8" s="127" t="str">
        <x:v>API ID</x:v>
      </x:c>
      <x:c r="B8" s="127"/>
      <x:c r="C8" s="127"/>
      <x:c r="D8" s="127"/>
      <x:c r="E8" s="127"/>
      <x:c r="F8" s="127" t="str">
        <x:v>Method</x:v>
      </x:c>
      <x:c r="G8" s="127"/>
      <x:c r="H8" s="127"/>
      <x:c r="I8" s="127"/>
      <x:c r="J8" s="127" t="str">
        <x:v>Path</x:v>
      </x:c>
      <x:c r="K8" s="127"/>
      <x:c r="L8" s="127"/>
      <x:c r="M8" s="127"/>
      <x:c r="N8" s="127"/>
      <x:c r="O8" s="127"/>
      <x:c r="P8" s="127"/>
      <x:c r="Q8" s="127"/>
      <x:c r="R8" s="127"/>
      <x:c r="S8" s="127"/>
      <x:c r="T8" s="127" t="str">
        <x:v>目的</x:v>
      </x:c>
      <x:c r="U8" s="127"/>
      <x:c r="V8" s="127"/>
      <x:c r="W8" s="127"/>
      <x:c r="X8" s="127"/>
      <x:c r="Y8" s="127" t="str">
        <x:v>主な応答</x:v>
      </x:c>
      <x:c r="Z8" s="127"/>
      <x:c r="AA8" s="127"/>
      <x:c r="AB8" s="127"/>
      <x:c r="AC8" s="2"/>
      <x:c r="AD8" s="127" t="str">
        <x:v>区分</x:v>
      </x:c>
      <x:c r="AE8" s="127"/>
      <x:c r="AF8" s="127"/>
      <x:c r="AG8" s="127"/>
      <x:c r="AH8" s="127"/>
      <x:c r="AI8" s="127" t="str">
        <x:v>名称</x:v>
      </x:c>
      <x:c r="AJ8" s="127"/>
      <x:c r="AK8" s="127"/>
      <x:c r="AL8" s="127"/>
      <x:c r="AM8" s="127"/>
      <x:c r="AN8" s="127"/>
      <x:c r="AO8" s="127"/>
      <x:c r="AP8" s="127" t="str">
        <x:v>型</x:v>
      </x:c>
      <x:c r="AQ8" s="127"/>
      <x:c r="AR8" s="127"/>
      <x:c r="AS8" s="127" t="str">
        <x:v>必須</x:v>
      </x:c>
      <x:c r="AT8" s="127"/>
      <x:c r="AU8" s="127"/>
      <x:c r="AV8" s="127" t="str">
        <x:v>説明</x:v>
      </x:c>
      <x:c r="AW8" s="127"/>
      <x:c r="AX8" s="127"/>
      <x:c r="AY8" s="127"/>
      <x:c r="AZ8" s="127"/>
    </x:row>
    <x:row r="9" ht="13.5" customHeight="1">
      <x:c r="A9" s="210" t="str">
        <x:v>API-01</x:v>
      </x:c>
      <x:c r="B9" s="210"/>
      <x:c r="C9" s="210"/>
      <x:c r="D9" s="210"/>
      <x:c r="E9" s="210"/>
      <x:c r="F9" s="210" t="str">
        <x:v>POST</x:v>
      </x:c>
      <x:c r="G9" s="210"/>
      <x:c r="H9" s="210"/>
      <x:c r="I9" s="210"/>
      <x:c r="J9" s="210" t="str">
        <x:v>/v1/expense-claims</x:v>
      </x:c>
      <x:c r="K9" s="210"/>
      <x:c r="L9" s="210"/>
      <x:c r="M9" s="210"/>
      <x:c r="N9" s="210"/>
      <x:c r="O9" s="210"/>
      <x:c r="P9" s="210"/>
      <x:c r="Q9" s="210"/>
      <x:c r="R9" s="210"/>
      <x:c r="S9" s="210"/>
      <x:c r="T9" s="210" t="str">
        <x:v>申請を提出</x:v>
      </x:c>
      <x:c r="U9" s="210"/>
      <x:c r="V9" s="210"/>
      <x:c r="W9" s="210"/>
      <x:c r="X9" s="210"/>
      <x:c r="Y9" s="210" t="str">
        <x:v>201 / 400 / 401 / 409</x:v>
      </x:c>
      <x:c r="Z9" s="210"/>
      <x:c r="AA9" s="210"/>
      <x:c r="AB9" s="210"/>
      <x:c r="AC9" s="2"/>
      <x:c r="AD9" s="210" t="str">
        <x:v>Header</x:v>
      </x:c>
      <x:c r="AE9" s="210"/>
      <x:c r="AF9" s="210"/>
      <x:c r="AG9" s="210"/>
      <x:c r="AH9" s="210"/>
      <x:c r="AI9" s="210" t="str">
        <x:v>Authorization</x:v>
      </x:c>
      <x:c r="AJ9" s="210"/>
      <x:c r="AK9" s="210"/>
      <x:c r="AL9" s="210"/>
      <x:c r="AM9" s="210"/>
      <x:c r="AN9" s="210"/>
      <x:c r="AO9" s="210"/>
      <x:c r="AP9" s="210" t="str">
        <x:v>string</x:v>
      </x:c>
      <x:c r="AQ9" s="210"/>
      <x:c r="AR9" s="210"/>
      <x:c r="AS9" s="210" t="str">
        <x:v>○</x:v>
      </x:c>
      <x:c r="AT9" s="210"/>
      <x:c r="AU9" s="210"/>
      <x:c r="AV9" s="210" t="str">
        <x:v>Bearer JWT</x:v>
      </x:c>
      <x:c r="AW9" s="210"/>
      <x:c r="AX9" s="210"/>
      <x:c r="AY9" s="210"/>
      <x:c r="AZ9" s="210"/>
    </x:row>
    <x:row r="10" ht="13.5" customHeight="1">
      <x:c r="A10" s="210" t="str">
        <x:v>API-02</x:v>
      </x:c>
      <x:c r="B10" s="210"/>
      <x:c r="C10" s="210"/>
      <x:c r="D10" s="210"/>
      <x:c r="E10" s="210"/>
      <x:c r="F10" s="210" t="str">
        <x:v>GET</x:v>
      </x:c>
      <x:c r="G10" s="210"/>
      <x:c r="H10" s="210"/>
      <x:c r="I10" s="210"/>
      <x:c r="J10" s="210" t="str">
        <x:v>/v1/expense-claims/{id}</x:v>
      </x:c>
      <x:c r="K10" s="210"/>
      <x:c r="L10" s="210"/>
      <x:c r="M10" s="210"/>
      <x:c r="N10" s="210"/>
      <x:c r="O10" s="210"/>
      <x:c r="P10" s="210"/>
      <x:c r="Q10" s="210"/>
      <x:c r="R10" s="210"/>
      <x:c r="S10" s="210"/>
      <x:c r="T10" s="210" t="str">
        <x:v>申請詳細を取得</x:v>
      </x:c>
      <x:c r="U10" s="210"/>
      <x:c r="V10" s="210"/>
      <x:c r="W10" s="210"/>
      <x:c r="X10" s="210"/>
      <x:c r="Y10" s="210" t="str">
        <x:v>200 / 401 / 404</x:v>
      </x:c>
      <x:c r="Z10" s="210"/>
      <x:c r="AA10" s="210"/>
      <x:c r="AB10" s="210"/>
      <x:c r="AC10" s="2"/>
      <x:c r="AD10" s="210" t="str">
        <x:v>Header</x:v>
      </x:c>
      <x:c r="AE10" s="210"/>
      <x:c r="AF10" s="210"/>
      <x:c r="AG10" s="210"/>
      <x:c r="AH10" s="210"/>
      <x:c r="AI10" s="210" t="str">
        <x:v>Idempotency-Key</x:v>
      </x:c>
      <x:c r="AJ10" s="210"/>
      <x:c r="AK10" s="210"/>
      <x:c r="AL10" s="210"/>
      <x:c r="AM10" s="210"/>
      <x:c r="AN10" s="210"/>
      <x:c r="AO10" s="210"/>
      <x:c r="AP10" s="210" t="str">
        <x:v>uuid</x:v>
      </x:c>
      <x:c r="AQ10" s="210"/>
      <x:c r="AR10" s="210"/>
      <x:c r="AS10" s="210" t="str">
        <x:v>○</x:v>
      </x:c>
      <x:c r="AT10" s="210"/>
      <x:c r="AU10" s="210"/>
      <x:c r="AV10" s="210" t="str">
        <x:v>同一利用者で24時間一意</x:v>
      </x:c>
      <x:c r="AW10" s="210"/>
      <x:c r="AX10" s="210"/>
      <x:c r="AY10" s="210"/>
      <x:c r="AZ10" s="210"/>
    </x:row>
    <x:row r="11" ht="13.5" customHeight="1">
      <x:c r="A11" s="210" t="str">
        <x:v>API-03</x:v>
      </x:c>
      <x:c r="B11" s="210"/>
      <x:c r="C11" s="210"/>
      <x:c r="D11" s="210"/>
      <x:c r="E11" s="210"/>
      <x:c r="F11" s="210" t="str">
        <x:v>PATCH</x:v>
      </x:c>
      <x:c r="G11" s="210"/>
      <x:c r="H11" s="210"/>
      <x:c r="I11" s="210"/>
      <x:c r="J11" s="210" t="str">
        <x:v>/v1/expense-claims/{id}</x:v>
      </x:c>
      <x:c r="K11" s="210"/>
      <x:c r="L11" s="210"/>
      <x:c r="M11" s="210"/>
      <x:c r="N11" s="210"/>
      <x:c r="O11" s="210"/>
      <x:c r="P11" s="210"/>
      <x:c r="Q11" s="210"/>
      <x:c r="R11" s="210"/>
      <x:c r="S11" s="210"/>
      <x:c r="T11" s="210" t="str">
        <x:v>下書き・差戻しを修正</x:v>
      </x:c>
      <x:c r="U11" s="210"/>
      <x:c r="V11" s="210"/>
      <x:c r="W11" s="210"/>
      <x:c r="X11" s="210"/>
      <x:c r="Y11" s="210" t="str">
        <x:v>200 / 400 / 409</x:v>
      </x:c>
      <x:c r="Z11" s="210"/>
      <x:c r="AA11" s="210"/>
      <x:c r="AB11" s="210"/>
      <x:c r="AC11" s="2"/>
      <x:c r="AD11" s="210" t="str">
        <x:v>Body</x:v>
      </x:c>
      <x:c r="AE11" s="210"/>
      <x:c r="AF11" s="210"/>
      <x:c r="AG11" s="210"/>
      <x:c r="AH11" s="210"/>
      <x:c r="AI11" s="210" t="str">
        <x:v>applicationDate</x:v>
      </x:c>
      <x:c r="AJ11" s="210"/>
      <x:c r="AK11" s="210"/>
      <x:c r="AL11" s="210"/>
      <x:c r="AM11" s="210"/>
      <x:c r="AN11" s="210"/>
      <x:c r="AO11" s="210"/>
      <x:c r="AP11" s="210" t="str">
        <x:v>date</x:v>
      </x:c>
      <x:c r="AQ11" s="210"/>
      <x:c r="AR11" s="210"/>
      <x:c r="AS11" s="210" t="str">
        <x:v>○</x:v>
      </x:c>
      <x:c r="AT11" s="210"/>
      <x:c r="AU11" s="210"/>
      <x:c r="AV11" s="210" t="str">
        <x:v>yyyy-mm-dd</x:v>
      </x:c>
      <x:c r="AW11" s="210"/>
      <x:c r="AX11" s="210"/>
      <x:c r="AY11" s="210"/>
      <x:c r="AZ11" s="210"/>
    </x:row>
    <x:row r="12" ht="13.5" customHeight="1">
      <x:c r="A12" s="210" t="str">
        <x:v>API-04</x:v>
      </x:c>
      <x:c r="B12" s="210"/>
      <x:c r="C12" s="210"/>
      <x:c r="D12" s="210"/>
      <x:c r="E12" s="210"/>
      <x:c r="F12" s="210" t="str">
        <x:v>POST</x:v>
      </x:c>
      <x:c r="G12" s="210"/>
      <x:c r="H12" s="210"/>
      <x:c r="I12" s="210"/>
      <x:c r="J12" s="210" t="str">
        <x:v>/v1/expense-claims/{id}/approve</x:v>
      </x:c>
      <x:c r="K12" s="210"/>
      <x:c r="L12" s="210"/>
      <x:c r="M12" s="210"/>
      <x:c r="N12" s="210"/>
      <x:c r="O12" s="210"/>
      <x:c r="P12" s="210"/>
      <x:c r="Q12" s="210"/>
      <x:c r="R12" s="210"/>
      <x:c r="S12" s="210"/>
      <x:c r="T12" s="210" t="str">
        <x:v>承認</x:v>
      </x:c>
      <x:c r="U12" s="210"/>
      <x:c r="V12" s="210"/>
      <x:c r="W12" s="210"/>
      <x:c r="X12" s="210"/>
      <x:c r="Y12" s="210" t="str">
        <x:v>200 / 403 / 409</x:v>
      </x:c>
      <x:c r="Z12" s="210"/>
      <x:c r="AA12" s="210"/>
      <x:c r="AB12" s="210"/>
      <x:c r="AC12" s="2"/>
      <x:c r="AD12" s="210" t="str">
        <x:v>Body</x:v>
      </x:c>
      <x:c r="AE12" s="210"/>
      <x:c r="AF12" s="210"/>
      <x:c r="AG12" s="210"/>
      <x:c r="AH12" s="210"/>
      <x:c r="AI12" s="210" t="str">
        <x:v>departmentCode</x:v>
      </x:c>
      <x:c r="AJ12" s="210"/>
      <x:c r="AK12" s="210"/>
      <x:c r="AL12" s="210"/>
      <x:c r="AM12" s="210"/>
      <x:c r="AN12" s="210"/>
      <x:c r="AO12" s="210"/>
      <x:c r="AP12" s="210" t="str">
        <x:v>string</x:v>
      </x:c>
      <x:c r="AQ12" s="210"/>
      <x:c r="AR12" s="210"/>
      <x:c r="AS12" s="210" t="str">
        <x:v>○</x:v>
      </x:c>
      <x:c r="AT12" s="210"/>
      <x:c r="AU12" s="210"/>
      <x:c r="AV12" s="210" t="str">
        <x:v>5文字</x:v>
      </x:c>
      <x:c r="AW12" s="210"/>
      <x:c r="AX12" s="210"/>
      <x:c r="AY12" s="210"/>
      <x:c r="AZ12" s="210"/>
    </x:row>
    <x:row r="13" ht="13.5" customHeight="1">
      <x:c r="A13" s="210" t="str">
        <x:v>API-05</x:v>
      </x:c>
      <x:c r="B13" s="210"/>
      <x:c r="C13" s="210"/>
      <x:c r="D13" s="210"/>
      <x:c r="E13" s="210"/>
      <x:c r="F13" s="210" t="str">
        <x:v>POST</x:v>
      </x:c>
      <x:c r="G13" s="210"/>
      <x:c r="H13" s="210"/>
      <x:c r="I13" s="210"/>
      <x:c r="J13" s="210" t="str">
        <x:v>/v1/expense-claims/{id}/return</x:v>
      </x:c>
      <x:c r="K13" s="210"/>
      <x:c r="L13" s="210"/>
      <x:c r="M13" s="210"/>
      <x:c r="N13" s="210"/>
      <x:c r="O13" s="210"/>
      <x:c r="P13" s="210"/>
      <x:c r="Q13" s="210"/>
      <x:c r="R13" s="210"/>
      <x:c r="S13" s="210"/>
      <x:c r="T13" s="210" t="str">
        <x:v>差戻し</x:v>
      </x:c>
      <x:c r="U13" s="210"/>
      <x:c r="V13" s="210"/>
      <x:c r="W13" s="210"/>
      <x:c r="X13" s="210"/>
      <x:c r="Y13" s="210" t="str">
        <x:v>200 / 400 / 403</x:v>
      </x:c>
      <x:c r="Z13" s="210"/>
      <x:c r="AA13" s="210"/>
      <x:c r="AB13" s="210"/>
      <x:c r="AC13" s="2"/>
      <x:c r="AD13" s="210" t="str">
        <x:v>Body</x:v>
      </x:c>
      <x:c r="AE13" s="210"/>
      <x:c r="AF13" s="210"/>
      <x:c r="AG13" s="210"/>
      <x:c r="AH13" s="210"/>
      <x:c r="AI13" s="210" t="str">
        <x:v>description</x:v>
      </x:c>
      <x:c r="AJ13" s="210"/>
      <x:c r="AK13" s="210"/>
      <x:c r="AL13" s="210"/>
      <x:c r="AM13" s="210"/>
      <x:c r="AN13" s="210"/>
      <x:c r="AO13" s="210"/>
      <x:c r="AP13" s="210" t="str">
        <x:v>string</x:v>
      </x:c>
      <x:c r="AQ13" s="210"/>
      <x:c r="AR13" s="210"/>
      <x:c r="AS13" s="210" t="str">
        <x:v>○</x:v>
      </x:c>
      <x:c r="AT13" s="210"/>
      <x:c r="AU13" s="210"/>
      <x:c r="AV13" s="210" t="str">
        <x:v>1〜100文字</x:v>
      </x:c>
      <x:c r="AW13" s="210"/>
      <x:c r="AX13" s="210"/>
      <x:c r="AY13" s="210"/>
      <x:c r="AZ13" s="210"/>
    </x:row>
    <x:row r="14" ht="13.5" customHeight="1">
      <x:c r="A14" s="210" t="str">
        <x:v>API-06</x:v>
      </x:c>
      <x:c r="B14" s="210"/>
      <x:c r="C14" s="210"/>
      <x:c r="D14" s="210"/>
      <x:c r="E14" s="210"/>
      <x:c r="F14" s="210" t="str">
        <x:v>POST</x:v>
      </x:c>
      <x:c r="G14" s="210"/>
      <x:c r="H14" s="210"/>
      <x:c r="I14" s="210"/>
      <x:c r="J14" s="210" t="str">
        <x:v>/v1/expense-claims/{id}/cancel</x:v>
      </x:c>
      <x:c r="K14" s="210"/>
      <x:c r="L14" s="210"/>
      <x:c r="M14" s="210"/>
      <x:c r="N14" s="210"/>
      <x:c r="O14" s="210"/>
      <x:c r="P14" s="210"/>
      <x:c r="Q14" s="210"/>
      <x:c r="R14" s="210"/>
      <x:c r="S14" s="210"/>
      <x:c r="T14" s="210" t="str">
        <x:v>取消</x:v>
      </x:c>
      <x:c r="U14" s="210"/>
      <x:c r="V14" s="210"/>
      <x:c r="W14" s="210"/>
      <x:c r="X14" s="210"/>
      <x:c r="Y14" s="210" t="str">
        <x:v>200 / 409</x:v>
      </x:c>
      <x:c r="Z14" s="210"/>
      <x:c r="AA14" s="210"/>
      <x:c r="AB14" s="210"/>
      <x:c r="AC14" s="2"/>
      <x:c r="AD14" s="210" t="str">
        <x:v>Body</x:v>
      </x:c>
      <x:c r="AE14" s="210"/>
      <x:c r="AF14" s="210"/>
      <x:c r="AG14" s="210"/>
      <x:c r="AH14" s="210"/>
      <x:c r="AI14" s="210" t="str">
        <x:v>amount</x:v>
      </x:c>
      <x:c r="AJ14" s="210"/>
      <x:c r="AK14" s="210"/>
      <x:c r="AL14" s="210"/>
      <x:c r="AM14" s="210"/>
      <x:c r="AN14" s="210"/>
      <x:c r="AO14" s="210"/>
      <x:c r="AP14" s="210" t="str">
        <x:v>integer</x:v>
      </x:c>
      <x:c r="AQ14" s="210"/>
      <x:c r="AR14" s="210"/>
      <x:c r="AS14" s="210" t="str">
        <x:v>○</x:v>
      </x:c>
      <x:c r="AT14" s="210"/>
      <x:c r="AU14" s="210"/>
      <x:c r="AV14" s="210" t="str">
        <x:v>円、1〜9,999,999</x:v>
      </x:c>
      <x:c r="AW14" s="210"/>
      <x:c r="AX14" s="210"/>
      <x:c r="AY14" s="210"/>
      <x:c r="AZ14" s="210"/>
    </x:row>
    <x:row r="15" ht="13.5" customHeight="1">
      <x:c r="A15" s="210" t="str">
        <x:v>API-07</x:v>
      </x:c>
      <x:c r="B15" s="210"/>
      <x:c r="C15" s="210"/>
      <x:c r="D15" s="210"/>
      <x:c r="E15" s="210"/>
      <x:c r="F15" s="210" t="str">
        <x:v>GET</x:v>
      </x:c>
      <x:c r="G15" s="210"/>
      <x:c r="H15" s="210"/>
      <x:c r="I15" s="210"/>
      <x:c r="J15" s="210" t="str">
        <x:v>/v1/expense-claims</x:v>
      </x:c>
      <x:c r="K15" s="210"/>
      <x:c r="L15" s="210"/>
      <x:c r="M15" s="210"/>
      <x:c r="N15" s="210"/>
      <x:c r="O15" s="210"/>
      <x:c r="P15" s="210"/>
      <x:c r="Q15" s="210"/>
      <x:c r="R15" s="210"/>
      <x:c r="S15" s="210"/>
      <x:c r="T15" s="210" t="str">
        <x:v>一覧・検索</x:v>
      </x:c>
      <x:c r="U15" s="210"/>
      <x:c r="V15" s="210"/>
      <x:c r="W15" s="210"/>
      <x:c r="X15" s="210"/>
      <x:c r="Y15" s="210" t="str">
        <x:v>200 / 400 / 401</x:v>
      </x:c>
      <x:c r="Z15" s="210"/>
      <x:c r="AA15" s="210"/>
      <x:c r="AB15" s="210"/>
      <x:c r="AC15" s="2"/>
      <x:c r="AD15" s="210" t="str">
        <x:v>Body</x:v>
      </x:c>
      <x:c r="AE15" s="210"/>
      <x:c r="AF15" s="210"/>
      <x:c r="AG15" s="210"/>
      <x:c r="AH15" s="210"/>
      <x:c r="AI15" s="210" t="str">
        <x:v>taxType</x:v>
      </x:c>
      <x:c r="AJ15" s="210"/>
      <x:c r="AK15" s="210"/>
      <x:c r="AL15" s="210"/>
      <x:c r="AM15" s="210"/>
      <x:c r="AN15" s="210"/>
      <x:c r="AO15" s="210"/>
      <x:c r="AP15" s="210" t="str">
        <x:v>enum</x:v>
      </x:c>
      <x:c r="AQ15" s="210"/>
      <x:c r="AR15" s="210"/>
      <x:c r="AS15" s="210" t="str">
        <x:v>○</x:v>
      </x:c>
      <x:c r="AT15" s="210"/>
      <x:c r="AU15" s="210"/>
      <x:c r="AV15" s="210" t="str">
        <x:v>STANDARD / REDUCED / EXEMPT</x:v>
      </x:c>
      <x:c r="AW15" s="210"/>
      <x:c r="AX15" s="210"/>
      <x:c r="AY15" s="210"/>
      <x:c r="AZ15" s="210"/>
    </x:row>
    <x:row r="16" ht="13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10" t="str">
        <x:v>Body</x:v>
      </x:c>
      <x:c r="AE16" s="210"/>
      <x:c r="AF16" s="210"/>
      <x:c r="AG16" s="210"/>
      <x:c r="AH16" s="210"/>
      <x:c r="AI16" s="210" t="str">
        <x:v>receiptFileId</x:v>
      </x:c>
      <x:c r="AJ16" s="210"/>
      <x:c r="AK16" s="210"/>
      <x:c r="AL16" s="210"/>
      <x:c r="AM16" s="210"/>
      <x:c r="AN16" s="210"/>
      <x:c r="AO16" s="210"/>
      <x:c r="AP16" s="210" t="str">
        <x:v>uuid</x:v>
      </x:c>
      <x:c r="AQ16" s="210"/>
      <x:c r="AR16" s="210"/>
      <x:c r="AS16" s="210" t="str">
        <x:v>条件付</x:v>
      </x:c>
      <x:c r="AT16" s="210"/>
      <x:c r="AU16" s="210"/>
      <x:c r="AV16" s="210" t="str">
        <x:v>10,000円以上で必須</x:v>
      </x:c>
      <x:c r="AW16" s="210"/>
      <x:c r="AX16" s="210"/>
      <x:c r="AY16" s="210"/>
      <x:c r="AZ16" s="210"/>
    </x:row>
    <x:row r="17" ht="13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10" t="str">
        <x:v>Response</x:v>
      </x:c>
      <x:c r="AE17" s="210"/>
      <x:c r="AF17" s="210"/>
      <x:c r="AG17" s="210"/>
      <x:c r="AH17" s="210"/>
      <x:c r="AI17" s="210" t="str">
        <x:v>claimId</x:v>
      </x:c>
      <x:c r="AJ17" s="210"/>
      <x:c r="AK17" s="210"/>
      <x:c r="AL17" s="210"/>
      <x:c r="AM17" s="210"/>
      <x:c r="AN17" s="210"/>
      <x:c r="AO17" s="210"/>
      <x:c r="AP17" s="210" t="str">
        <x:v>uuid</x:v>
      </x:c>
      <x:c r="AQ17" s="210"/>
      <x:c r="AR17" s="210"/>
      <x:c r="AS17" s="210" t="str">
        <x:v>○</x:v>
      </x:c>
      <x:c r="AT17" s="210"/>
      <x:c r="AU17" s="210"/>
      <x:c r="AV17" s="210" t="str">
        <x:v>受付番号</x:v>
      </x:c>
      <x:c r="AW17" s="210"/>
      <x:c r="AX17" s="210"/>
      <x:c r="AY17" s="210"/>
      <x:c r="AZ17" s="210"/>
    </x:row>
    <x:row r="18" ht="13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10" t="str">
        <x:v>Response</x:v>
      </x:c>
      <x:c r="AE18" s="210"/>
      <x:c r="AF18" s="210"/>
      <x:c r="AG18" s="210"/>
      <x:c r="AH18" s="210"/>
      <x:c r="AI18" s="210" t="str">
        <x:v>status</x:v>
      </x:c>
      <x:c r="AJ18" s="210"/>
      <x:c r="AK18" s="210"/>
      <x:c r="AL18" s="210"/>
      <x:c r="AM18" s="210"/>
      <x:c r="AN18" s="210"/>
      <x:c r="AO18" s="210"/>
      <x:c r="AP18" s="210" t="str">
        <x:v>enum</x:v>
      </x:c>
      <x:c r="AQ18" s="210"/>
      <x:c r="AR18" s="210"/>
      <x:c r="AS18" s="210" t="str">
        <x:v>○</x:v>
      </x:c>
      <x:c r="AT18" s="210"/>
      <x:c r="AU18" s="210"/>
      <x:c r="AV18" s="210" t="str">
        <x:v>SUBMITTED</x:v>
      </x:c>
      <x:c r="AW18" s="210"/>
      <x:c r="AX18" s="210"/>
      <x:c r="AY18" s="210"/>
      <x:c r="AZ18" s="210"/>
    </x:row>
    <x:row r="19" ht="13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 ht="13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 ht="13.5" customHeight="1">
      <x:c r="A21" s="77" t="str">
        <x:v>6.3 主要テーブル</x:v>
      </x:c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78"/>
      <x:c r="U21" s="78"/>
      <x:c r="V21" s="78"/>
      <x:c r="W21" s="78"/>
      <x:c r="X21" s="78"/>
      <x:c r="Y21" s="78"/>
      <x:c r="Z21" s="78"/>
      <x:c r="AA21" s="78"/>
      <x:c r="AB21" s="78"/>
      <x:c r="AC21" s="78"/>
      <x:c r="AD21" s="78"/>
      <x:c r="AE21" s="78"/>
      <x:c r="AF21" s="78"/>
      <x:c r="AG21" s="78"/>
      <x:c r="AH21" s="78"/>
      <x:c r="AI21" s="78"/>
      <x:c r="AJ21" s="78"/>
      <x:c r="AK21" s="78"/>
      <x:c r="AL21" s="78"/>
      <x:c r="AM21" s="78"/>
      <x:c r="AN21" s="78"/>
      <x:c r="AO21" s="78"/>
      <x:c r="AP21" s="78"/>
      <x:c r="AQ21" s="78"/>
      <x:c r="AR21" s="78"/>
      <x:c r="AS21" s="78"/>
      <x:c r="AT21" s="78"/>
      <x:c r="AU21" s="78"/>
      <x:c r="AV21" s="78"/>
      <x:c r="AW21" s="78"/>
      <x:c r="AX21" s="78"/>
      <x:c r="AY21" s="78"/>
      <x:c r="AZ21" s="79"/>
    </x:row>
    <x:row r="22" ht="13.5" customHeight="1">
      <x:c r="A22" s="80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  <x:c r="AA22" s="81"/>
      <x:c r="AB22" s="81"/>
      <x:c r="AC22" s="81"/>
      <x:c r="AD22" s="81"/>
      <x:c r="AE22" s="81"/>
      <x:c r="AF22" s="81"/>
      <x:c r="AG22" s="81"/>
      <x:c r="AH22" s="81"/>
      <x:c r="AI22" s="81"/>
      <x:c r="AJ22" s="81"/>
      <x:c r="AK22" s="81"/>
      <x:c r="AL22" s="81"/>
      <x:c r="AM22" s="81"/>
      <x:c r="AN22" s="81"/>
      <x:c r="AO22" s="81"/>
      <x:c r="AP22" s="81"/>
      <x:c r="AQ22" s="81"/>
      <x:c r="AR22" s="81"/>
      <x:c r="AS22" s="81"/>
      <x:c r="AT22" s="81"/>
      <x:c r="AU22" s="81"/>
      <x:c r="AV22" s="81"/>
      <x:c r="AW22" s="81"/>
      <x:c r="AX22" s="81"/>
      <x:c r="AY22" s="81"/>
      <x:c r="AZ22" s="82"/>
    </x:row>
    <x:row r="23" ht="13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 ht="13.5" customHeight="1">
      <x:c r="A24" s="127" t="str">
        <x:v>テーブル</x:v>
      </x:c>
      <x:c r="B24" s="127"/>
      <x:c r="C24" s="127"/>
      <x:c r="D24" s="127"/>
      <x:c r="E24" s="127"/>
      <x:c r="F24" s="127"/>
      <x:c r="G24" s="127"/>
      <x:c r="H24" s="127"/>
      <x:c r="I24" s="127"/>
      <x:c r="J24" s="127"/>
      <x:c r="K24" s="127" t="str">
        <x:v>列</x:v>
      </x:c>
      <x:c r="L24" s="127"/>
      <x:c r="M24" s="127"/>
      <x:c r="N24" s="127"/>
      <x:c r="O24" s="127"/>
      <x:c r="P24" s="127"/>
      <x:c r="Q24" s="127"/>
      <x:c r="R24" s="127"/>
      <x:c r="S24" s="127"/>
      <x:c r="T24" s="127" t="str">
        <x:v>型</x:v>
      </x:c>
      <x:c r="U24" s="127"/>
      <x:c r="V24" s="127"/>
      <x:c r="W24" s="127"/>
      <x:c r="X24" s="127"/>
      <x:c r="Y24" s="127"/>
      <x:c r="Z24" s="127"/>
      <x:c r="AA24" s="127"/>
      <x:c r="AB24" s="127" t="str">
        <x:v>NULL</x:v>
      </x:c>
      <x:c r="AC24" s="127"/>
      <x:c r="AD24" s="127"/>
      <x:c r="AE24" s="127"/>
      <x:c r="AF24" s="127"/>
      <x:c r="AG24" s="127"/>
      <x:c r="AH24" s="127" t="str">
        <x:v>キー</x:v>
      </x:c>
      <x:c r="AI24" s="127"/>
      <x:c r="AJ24" s="127"/>
      <x:c r="AK24" s="127"/>
      <x:c r="AL24" s="127"/>
      <x:c r="AM24" s="127" t="str">
        <x:v>説明</x:v>
      </x:c>
      <x:c r="AN24" s="127"/>
      <x:c r="AO24" s="127"/>
      <x:c r="AP24" s="127"/>
      <x:c r="AQ24" s="127"/>
      <x:c r="AR24" s="127"/>
      <x:c r="AS24" s="127"/>
      <x:c r="AT24" s="127"/>
      <x:c r="AU24" s="127"/>
      <x:c r="AV24" s="127"/>
      <x:c r="AW24" s="127"/>
      <x:c r="AX24" s="127"/>
      <x:c r="AY24" s="127"/>
      <x:c r="AZ24" s="127"/>
    </x:row>
    <x:row r="25" ht="13.5" customHeight="1">
      <x:c r="A25" s="210" t="str">
        <x:v>expense_claim</x:v>
      </x:c>
      <x:c r="B25" s="210"/>
      <x:c r="C25" s="210"/>
      <x:c r="D25" s="210"/>
      <x:c r="E25" s="210"/>
      <x:c r="F25" s="210"/>
      <x:c r="G25" s="210"/>
      <x:c r="H25" s="210"/>
      <x:c r="I25" s="210"/>
      <x:c r="J25" s="210"/>
      <x:c r="K25" s="210" t="str">
        <x:v>claim_id</x:v>
      </x:c>
      <x:c r="L25" s="210"/>
      <x:c r="M25" s="210"/>
      <x:c r="N25" s="210"/>
      <x:c r="O25" s="210"/>
      <x:c r="P25" s="210"/>
      <x:c r="Q25" s="210"/>
      <x:c r="R25" s="210"/>
      <x:c r="S25" s="210"/>
      <x:c r="T25" s="210" t="str">
        <x:v>uuid</x:v>
      </x:c>
      <x:c r="U25" s="210"/>
      <x:c r="V25" s="210"/>
      <x:c r="W25" s="210"/>
      <x:c r="X25" s="210"/>
      <x:c r="Y25" s="210"/>
      <x:c r="Z25" s="210"/>
      <x:c r="AA25" s="210"/>
      <x:c r="AB25" s="210" t="str">
        <x:v>NO</x:v>
      </x:c>
      <x:c r="AC25" s="210"/>
      <x:c r="AD25" s="210"/>
      <x:c r="AE25" s="210"/>
      <x:c r="AF25" s="210"/>
      <x:c r="AG25" s="210"/>
      <x:c r="AH25" s="210" t="str">
        <x:v>PK</x:v>
      </x:c>
      <x:c r="AI25" s="210"/>
      <x:c r="AJ25" s="210"/>
      <x:c r="AK25" s="210"/>
      <x:c r="AL25" s="210"/>
      <x:c r="AM25" s="210" t="str">
        <x:v>申請ID</x:v>
      </x:c>
      <x:c r="AN25" s="210"/>
      <x:c r="AO25" s="210"/>
      <x:c r="AP25" s="210"/>
      <x:c r="AQ25" s="210"/>
      <x:c r="AR25" s="210"/>
      <x:c r="AS25" s="210"/>
      <x:c r="AT25" s="210"/>
      <x:c r="AU25" s="210"/>
      <x:c r="AV25" s="210"/>
      <x:c r="AW25" s="210"/>
      <x:c r="AX25" s="210"/>
      <x:c r="AY25" s="210"/>
      <x:c r="AZ25" s="210"/>
    </x:row>
    <x:row r="26" ht="13.5" customHeight="1">
      <x:c r="A26" s="210" t="str">
        <x:v>expense_claim</x:v>
      </x:c>
      <x:c r="B26" s="210"/>
      <x:c r="C26" s="210"/>
      <x:c r="D26" s="210"/>
      <x:c r="E26" s="210"/>
      <x:c r="F26" s="210"/>
      <x:c r="G26" s="210"/>
      <x:c r="H26" s="210"/>
      <x:c r="I26" s="210"/>
      <x:c r="J26" s="210"/>
      <x:c r="K26" s="210" t="str">
        <x:v>applicant_id</x:v>
      </x:c>
      <x:c r="L26" s="210"/>
      <x:c r="M26" s="210"/>
      <x:c r="N26" s="210"/>
      <x:c r="O26" s="210"/>
      <x:c r="P26" s="210"/>
      <x:c r="Q26" s="210"/>
      <x:c r="R26" s="210"/>
      <x:c r="S26" s="210"/>
      <x:c r="T26" s="210" t="str">
        <x:v>uuid</x:v>
      </x:c>
      <x:c r="U26" s="210"/>
      <x:c r="V26" s="210"/>
      <x:c r="W26" s="210"/>
      <x:c r="X26" s="210"/>
      <x:c r="Y26" s="210"/>
      <x:c r="Z26" s="210"/>
      <x:c r="AA26" s="210"/>
      <x:c r="AB26" s="210" t="str">
        <x:v>NO</x:v>
      </x:c>
      <x:c r="AC26" s="210"/>
      <x:c r="AD26" s="210"/>
      <x:c r="AE26" s="210"/>
      <x:c r="AF26" s="210"/>
      <x:c r="AG26" s="210"/>
      <x:c r="AH26" s="210" t="str">
        <x:v>IDX</x:v>
      </x:c>
      <x:c r="AI26" s="210"/>
      <x:c r="AJ26" s="210"/>
      <x:c r="AK26" s="210"/>
      <x:c r="AL26" s="210"/>
      <x:c r="AM26" s="210" t="str">
        <x:v>申請者ID</x:v>
      </x:c>
      <x:c r="AN26" s="210"/>
      <x:c r="AO26" s="210"/>
      <x:c r="AP26" s="210"/>
      <x:c r="AQ26" s="210"/>
      <x:c r="AR26" s="210"/>
      <x:c r="AS26" s="210"/>
      <x:c r="AT26" s="210"/>
      <x:c r="AU26" s="210"/>
      <x:c r="AV26" s="210"/>
      <x:c r="AW26" s="210"/>
      <x:c r="AX26" s="210"/>
      <x:c r="AY26" s="210"/>
      <x:c r="AZ26" s="210"/>
    </x:row>
    <x:row r="27" ht="13.5" customHeight="1">
      <x:c r="A27" s="210" t="str">
        <x:v>expense_claim</x:v>
      </x:c>
      <x:c r="B27" s="210"/>
      <x:c r="C27" s="210"/>
      <x:c r="D27" s="210"/>
      <x:c r="E27" s="210"/>
      <x:c r="F27" s="210"/>
      <x:c r="G27" s="210"/>
      <x:c r="H27" s="210"/>
      <x:c r="I27" s="210"/>
      <x:c r="J27" s="210"/>
      <x:c r="K27" s="210" t="str">
        <x:v>idempotency_key</x:v>
      </x:c>
      <x:c r="L27" s="210"/>
      <x:c r="M27" s="210"/>
      <x:c r="N27" s="210"/>
      <x:c r="O27" s="210"/>
      <x:c r="P27" s="210"/>
      <x:c r="Q27" s="210"/>
      <x:c r="R27" s="210"/>
      <x:c r="S27" s="210"/>
      <x:c r="T27" s="210" t="str">
        <x:v>uuid</x:v>
      </x:c>
      <x:c r="U27" s="210"/>
      <x:c r="V27" s="210"/>
      <x:c r="W27" s="210"/>
      <x:c r="X27" s="210"/>
      <x:c r="Y27" s="210"/>
      <x:c r="Z27" s="210"/>
      <x:c r="AA27" s="210"/>
      <x:c r="AB27" s="210" t="str">
        <x:v>NO</x:v>
      </x:c>
      <x:c r="AC27" s="210"/>
      <x:c r="AD27" s="210"/>
      <x:c r="AE27" s="210"/>
      <x:c r="AF27" s="210"/>
      <x:c r="AG27" s="210"/>
      <x:c r="AH27" s="210" t="str">
        <x:v>UK</x:v>
      </x:c>
      <x:c r="AI27" s="210"/>
      <x:c r="AJ27" s="210"/>
      <x:c r="AK27" s="210"/>
      <x:c r="AL27" s="210"/>
      <x:c r="AM27" s="210" t="str">
        <x:v>申請者＋キーで24時間一意</x:v>
      </x:c>
      <x:c r="AN27" s="210"/>
      <x:c r="AO27" s="210"/>
      <x:c r="AP27" s="210"/>
      <x:c r="AQ27" s="210"/>
      <x:c r="AR27" s="210"/>
      <x:c r="AS27" s="210"/>
      <x:c r="AT27" s="210"/>
      <x:c r="AU27" s="210"/>
      <x:c r="AV27" s="210"/>
      <x:c r="AW27" s="210"/>
      <x:c r="AX27" s="210"/>
      <x:c r="AY27" s="210"/>
      <x:c r="AZ27" s="210"/>
    </x:row>
    <x:row r="28" ht="13.5" customHeight="1">
      <x:c r="A28" s="210" t="str">
        <x:v>expense_claim</x:v>
      </x:c>
      <x:c r="B28" s="210"/>
      <x:c r="C28" s="210"/>
      <x:c r="D28" s="210"/>
      <x:c r="E28" s="210"/>
      <x:c r="F28" s="210"/>
      <x:c r="G28" s="210"/>
      <x:c r="H28" s="210"/>
      <x:c r="I28" s="210"/>
      <x:c r="J28" s="210"/>
      <x:c r="K28" s="210" t="str">
        <x:v>amount</x:v>
      </x:c>
      <x:c r="L28" s="210"/>
      <x:c r="M28" s="210"/>
      <x:c r="N28" s="210"/>
      <x:c r="O28" s="210"/>
      <x:c r="P28" s="210"/>
      <x:c r="Q28" s="210"/>
      <x:c r="R28" s="210"/>
      <x:c r="S28" s="210"/>
      <x:c r="T28" s="210" t="str">
        <x:v>integer</x:v>
      </x:c>
      <x:c r="U28" s="210"/>
      <x:c r="V28" s="210"/>
      <x:c r="W28" s="210"/>
      <x:c r="X28" s="210"/>
      <x:c r="Y28" s="210"/>
      <x:c r="Z28" s="210"/>
      <x:c r="AA28" s="210"/>
      <x:c r="AB28" s="210" t="str">
        <x:v>NO</x:v>
      </x:c>
      <x:c r="AC28" s="210"/>
      <x:c r="AD28" s="210"/>
      <x:c r="AE28" s="210"/>
      <x:c r="AF28" s="210"/>
      <x:c r="AG28" s="210"/>
      <x:c r="AH28" s="210" t="str">
        <x:v>—</x:v>
      </x:c>
      <x:c r="AI28" s="210"/>
      <x:c r="AJ28" s="210"/>
      <x:c r="AK28" s="210"/>
      <x:c r="AL28" s="210"/>
      <x:c r="AM28" s="210" t="str">
        <x:v>税込金額（円）</x:v>
      </x:c>
      <x:c r="AN28" s="210"/>
      <x:c r="AO28" s="210"/>
      <x:c r="AP28" s="210"/>
      <x:c r="AQ28" s="210"/>
      <x:c r="AR28" s="210"/>
      <x:c r="AS28" s="210"/>
      <x:c r="AT28" s="210"/>
      <x:c r="AU28" s="210"/>
      <x:c r="AV28" s="210"/>
      <x:c r="AW28" s="210"/>
      <x:c r="AX28" s="210"/>
      <x:c r="AY28" s="210"/>
      <x:c r="AZ28" s="210"/>
    </x:row>
    <x:row r="29" ht="13.5" customHeight="1">
      <x:c r="A29" s="210" t="str">
        <x:v>expense_claim</x:v>
      </x:c>
      <x:c r="B29" s="210"/>
      <x:c r="C29" s="210"/>
      <x:c r="D29" s="210"/>
      <x:c r="E29" s="210"/>
      <x:c r="F29" s="210"/>
      <x:c r="G29" s="210"/>
      <x:c r="H29" s="210"/>
      <x:c r="I29" s="210"/>
      <x:c r="J29" s="210"/>
      <x:c r="K29" s="210" t="str">
        <x:v>status</x:v>
      </x:c>
      <x:c r="L29" s="210"/>
      <x:c r="M29" s="210"/>
      <x:c r="N29" s="210"/>
      <x:c r="O29" s="210"/>
      <x:c r="P29" s="210"/>
      <x:c r="Q29" s="210"/>
      <x:c r="R29" s="210"/>
      <x:c r="S29" s="210"/>
      <x:c r="T29" s="210" t="str">
        <x:v>varchar(24)</x:v>
      </x:c>
      <x:c r="U29" s="210"/>
      <x:c r="V29" s="210"/>
      <x:c r="W29" s="210"/>
      <x:c r="X29" s="210"/>
      <x:c r="Y29" s="210"/>
      <x:c r="Z29" s="210"/>
      <x:c r="AA29" s="210"/>
      <x:c r="AB29" s="210" t="str">
        <x:v>NO</x:v>
      </x:c>
      <x:c r="AC29" s="210"/>
      <x:c r="AD29" s="210"/>
      <x:c r="AE29" s="210"/>
      <x:c r="AF29" s="210"/>
      <x:c r="AG29" s="210"/>
      <x:c r="AH29" s="210" t="str">
        <x:v>IDX</x:v>
      </x:c>
      <x:c r="AI29" s="210"/>
      <x:c r="AJ29" s="210"/>
      <x:c r="AK29" s="210"/>
      <x:c r="AL29" s="210"/>
      <x:c r="AM29" s="210" t="str">
        <x:v>状態コード</x:v>
      </x:c>
      <x:c r="AN29" s="210"/>
      <x:c r="AO29" s="210"/>
      <x:c r="AP29" s="210"/>
      <x:c r="AQ29" s="210"/>
      <x:c r="AR29" s="210"/>
      <x:c r="AS29" s="210"/>
      <x:c r="AT29" s="210"/>
      <x:c r="AU29" s="210"/>
      <x:c r="AV29" s="210"/>
      <x:c r="AW29" s="210"/>
      <x:c r="AX29" s="210"/>
      <x:c r="AY29" s="210"/>
      <x:c r="AZ29" s="210"/>
    </x:row>
    <x:row r="30" ht="13.5" customHeight="1">
      <x:c r="A30" s="210" t="str">
        <x:v>expense_claim</x:v>
      </x:c>
      <x:c r="B30" s="210"/>
      <x:c r="C30" s="210"/>
      <x:c r="D30" s="210"/>
      <x:c r="E30" s="210"/>
      <x:c r="F30" s="210"/>
      <x:c r="G30" s="210"/>
      <x:c r="H30" s="210"/>
      <x:c r="I30" s="210"/>
      <x:c r="J30" s="210"/>
      <x:c r="K30" s="210" t="str">
        <x:v>version</x:v>
      </x:c>
      <x:c r="L30" s="210"/>
      <x:c r="M30" s="210"/>
      <x:c r="N30" s="210"/>
      <x:c r="O30" s="210"/>
      <x:c r="P30" s="210"/>
      <x:c r="Q30" s="210"/>
      <x:c r="R30" s="210"/>
      <x:c r="S30" s="210"/>
      <x:c r="T30" s="210" t="str">
        <x:v>integer</x:v>
      </x:c>
      <x:c r="U30" s="210"/>
      <x:c r="V30" s="210"/>
      <x:c r="W30" s="210"/>
      <x:c r="X30" s="210"/>
      <x:c r="Y30" s="210"/>
      <x:c r="Z30" s="210"/>
      <x:c r="AA30" s="210"/>
      <x:c r="AB30" s="210" t="str">
        <x:v>NO</x:v>
      </x:c>
      <x:c r="AC30" s="210"/>
      <x:c r="AD30" s="210"/>
      <x:c r="AE30" s="210"/>
      <x:c r="AF30" s="210"/>
      <x:c r="AG30" s="210"/>
      <x:c r="AH30" s="210" t="str">
        <x:v>—</x:v>
      </x:c>
      <x:c r="AI30" s="210"/>
      <x:c r="AJ30" s="210"/>
      <x:c r="AK30" s="210"/>
      <x:c r="AL30" s="210"/>
      <x:c r="AM30" s="210" t="str">
        <x:v>楽観ロック版</x:v>
      </x:c>
      <x:c r="AN30" s="210"/>
      <x:c r="AO30" s="210"/>
      <x:c r="AP30" s="210"/>
      <x:c r="AQ30" s="210"/>
      <x:c r="AR30" s="210"/>
      <x:c r="AS30" s="210"/>
      <x:c r="AT30" s="210"/>
      <x:c r="AU30" s="210"/>
      <x:c r="AV30" s="210"/>
      <x:c r="AW30" s="210"/>
      <x:c r="AX30" s="210"/>
      <x:c r="AY30" s="210"/>
      <x:c r="AZ30" s="210"/>
    </x:row>
    <x:row r="31" ht="13.5" customHeight="1">
      <x:c r="A31" s="210" t="str">
        <x:v>approval_task</x:v>
      </x:c>
      <x:c r="B31" s="210"/>
      <x:c r="C31" s="210"/>
      <x:c r="D31" s="210"/>
      <x:c r="E31" s="210"/>
      <x:c r="F31" s="210"/>
      <x:c r="G31" s="210"/>
      <x:c r="H31" s="210"/>
      <x:c r="I31" s="210"/>
      <x:c r="J31" s="210"/>
      <x:c r="K31" s="210" t="str">
        <x:v>task_id</x:v>
      </x:c>
      <x:c r="L31" s="210"/>
      <x:c r="M31" s="210"/>
      <x:c r="N31" s="210"/>
      <x:c r="O31" s="210"/>
      <x:c r="P31" s="210"/>
      <x:c r="Q31" s="210"/>
      <x:c r="R31" s="210"/>
      <x:c r="S31" s="210"/>
      <x:c r="T31" s="210" t="str">
        <x:v>uuid</x:v>
      </x:c>
      <x:c r="U31" s="210"/>
      <x:c r="V31" s="210"/>
      <x:c r="W31" s="210"/>
      <x:c r="X31" s="210"/>
      <x:c r="Y31" s="210"/>
      <x:c r="Z31" s="210"/>
      <x:c r="AA31" s="210"/>
      <x:c r="AB31" s="210" t="str">
        <x:v>NO</x:v>
      </x:c>
      <x:c r="AC31" s="210"/>
      <x:c r="AD31" s="210"/>
      <x:c r="AE31" s="210"/>
      <x:c r="AF31" s="210"/>
      <x:c r="AG31" s="210"/>
      <x:c r="AH31" s="210" t="str">
        <x:v>PK</x:v>
      </x:c>
      <x:c r="AI31" s="210"/>
      <x:c r="AJ31" s="210"/>
      <x:c r="AK31" s="210"/>
      <x:c r="AL31" s="210"/>
      <x:c r="AM31" s="210" t="str">
        <x:v>承認タスクID</x:v>
      </x:c>
      <x:c r="AN31" s="210"/>
      <x:c r="AO31" s="210"/>
      <x:c r="AP31" s="210"/>
      <x:c r="AQ31" s="210"/>
      <x:c r="AR31" s="210"/>
      <x:c r="AS31" s="210"/>
      <x:c r="AT31" s="210"/>
      <x:c r="AU31" s="210"/>
      <x:c r="AV31" s="210"/>
      <x:c r="AW31" s="210"/>
      <x:c r="AX31" s="210"/>
      <x:c r="AY31" s="210"/>
      <x:c r="AZ31" s="210"/>
    </x:row>
    <x:row r="32" ht="13.5" customHeight="1">
      <x:c r="A32" s="210" t="str">
        <x:v>approval_task</x:v>
      </x:c>
      <x:c r="B32" s="210"/>
      <x:c r="C32" s="210"/>
      <x:c r="D32" s="210"/>
      <x:c r="E32" s="210"/>
      <x:c r="F32" s="210"/>
      <x:c r="G32" s="210"/>
      <x:c r="H32" s="210"/>
      <x:c r="I32" s="210"/>
      <x:c r="J32" s="210"/>
      <x:c r="K32" s="210" t="str">
        <x:v>claim_id</x:v>
      </x:c>
      <x:c r="L32" s="210"/>
      <x:c r="M32" s="210"/>
      <x:c r="N32" s="210"/>
      <x:c r="O32" s="210"/>
      <x:c r="P32" s="210"/>
      <x:c r="Q32" s="210"/>
      <x:c r="R32" s="210"/>
      <x:c r="S32" s="210"/>
      <x:c r="T32" s="210" t="str">
        <x:v>uuid</x:v>
      </x:c>
      <x:c r="U32" s="210"/>
      <x:c r="V32" s="210"/>
      <x:c r="W32" s="210"/>
      <x:c r="X32" s="210"/>
      <x:c r="Y32" s="210"/>
      <x:c r="Z32" s="210"/>
      <x:c r="AA32" s="210"/>
      <x:c r="AB32" s="210" t="str">
        <x:v>NO</x:v>
      </x:c>
      <x:c r="AC32" s="210"/>
      <x:c r="AD32" s="210"/>
      <x:c r="AE32" s="210"/>
      <x:c r="AF32" s="210"/>
      <x:c r="AG32" s="210"/>
      <x:c r="AH32" s="210" t="str">
        <x:v>FK</x:v>
      </x:c>
      <x:c r="AI32" s="210"/>
      <x:c r="AJ32" s="210"/>
      <x:c r="AK32" s="210"/>
      <x:c r="AL32" s="210"/>
      <x:c r="AM32" s="210" t="str">
        <x:v>expense_claim参照</x:v>
      </x:c>
      <x:c r="AN32" s="210"/>
      <x:c r="AO32" s="210"/>
      <x:c r="AP32" s="210"/>
      <x:c r="AQ32" s="210"/>
      <x:c r="AR32" s="210"/>
      <x:c r="AS32" s="210"/>
      <x:c r="AT32" s="210"/>
      <x:c r="AU32" s="210"/>
      <x:c r="AV32" s="210"/>
      <x:c r="AW32" s="210"/>
      <x:c r="AX32" s="210"/>
      <x:c r="AY32" s="210"/>
      <x:c r="AZ32" s="210"/>
    </x:row>
    <x:row r="33" ht="13.5" customHeight="1">
      <x:c r="A33" s="210" t="str">
        <x:v>outbox_event</x:v>
      </x:c>
      <x:c r="B33" s="210"/>
      <x:c r="C33" s="210"/>
      <x:c r="D33" s="210"/>
      <x:c r="E33" s="210"/>
      <x:c r="F33" s="210"/>
      <x:c r="G33" s="210"/>
      <x:c r="H33" s="210"/>
      <x:c r="I33" s="210"/>
      <x:c r="J33" s="210"/>
      <x:c r="K33" s="210" t="str">
        <x:v>event_id</x:v>
      </x:c>
      <x:c r="L33" s="210"/>
      <x:c r="M33" s="210"/>
      <x:c r="N33" s="210"/>
      <x:c r="O33" s="210"/>
      <x:c r="P33" s="210"/>
      <x:c r="Q33" s="210"/>
      <x:c r="R33" s="210"/>
      <x:c r="S33" s="210"/>
      <x:c r="T33" s="210" t="str">
        <x:v>uuid</x:v>
      </x:c>
      <x:c r="U33" s="210"/>
      <x:c r="V33" s="210"/>
      <x:c r="W33" s="210"/>
      <x:c r="X33" s="210"/>
      <x:c r="Y33" s="210"/>
      <x:c r="Z33" s="210"/>
      <x:c r="AA33" s="210"/>
      <x:c r="AB33" s="210" t="str">
        <x:v>NO</x:v>
      </x:c>
      <x:c r="AC33" s="210"/>
      <x:c r="AD33" s="210"/>
      <x:c r="AE33" s="210"/>
      <x:c r="AF33" s="210"/>
      <x:c r="AG33" s="210"/>
      <x:c r="AH33" s="210" t="str">
        <x:v>PK</x:v>
      </x:c>
      <x:c r="AI33" s="210"/>
      <x:c r="AJ33" s="210"/>
      <x:c r="AK33" s="210"/>
      <x:c r="AL33" s="210"/>
      <x:c r="AM33" s="210" t="str">
        <x:v>イベントID／冪等キー</x:v>
      </x:c>
      <x:c r="AN33" s="210"/>
      <x:c r="AO33" s="210"/>
      <x:c r="AP33" s="210"/>
      <x:c r="AQ33" s="210"/>
      <x:c r="AR33" s="210"/>
      <x:c r="AS33" s="210"/>
      <x:c r="AT33" s="210"/>
      <x:c r="AU33" s="210"/>
      <x:c r="AV33" s="210"/>
      <x:c r="AW33" s="210"/>
      <x:c r="AX33" s="210"/>
      <x:c r="AY33" s="210"/>
      <x:c r="AZ33" s="210"/>
    </x:row>
    <x:row r="34" ht="13.5" customHeight="1">
      <x:c r="A34" s="210" t="str">
        <x:v>outbox_event</x:v>
      </x:c>
      <x:c r="B34" s="210"/>
      <x:c r="C34" s="210"/>
      <x:c r="D34" s="210"/>
      <x:c r="E34" s="210"/>
      <x:c r="F34" s="210"/>
      <x:c r="G34" s="210"/>
      <x:c r="H34" s="210"/>
      <x:c r="I34" s="210"/>
      <x:c r="J34" s="210"/>
      <x:c r="K34" s="210" t="str">
        <x:v>event_type</x:v>
      </x:c>
      <x:c r="L34" s="210"/>
      <x:c r="M34" s="210"/>
      <x:c r="N34" s="210"/>
      <x:c r="O34" s="210"/>
      <x:c r="P34" s="210"/>
      <x:c r="Q34" s="210"/>
      <x:c r="R34" s="210"/>
      <x:c r="S34" s="210"/>
      <x:c r="T34" s="210" t="str">
        <x:v>varchar(64)</x:v>
      </x:c>
      <x:c r="U34" s="210"/>
      <x:c r="V34" s="210"/>
      <x:c r="W34" s="210"/>
      <x:c r="X34" s="210"/>
      <x:c r="Y34" s="210"/>
      <x:c r="Z34" s="210"/>
      <x:c r="AA34" s="210"/>
      <x:c r="AB34" s="210" t="str">
        <x:v>NO</x:v>
      </x:c>
      <x:c r="AC34" s="210"/>
      <x:c r="AD34" s="210"/>
      <x:c r="AE34" s="210"/>
      <x:c r="AF34" s="210"/>
      <x:c r="AG34" s="210"/>
      <x:c r="AH34" s="210" t="str">
        <x:v>IDX</x:v>
      </x:c>
      <x:c r="AI34" s="210"/>
      <x:c r="AJ34" s="210"/>
      <x:c r="AK34" s="210"/>
      <x:c r="AL34" s="210"/>
      <x:c r="AM34" s="210" t="str">
        <x:v>approval.requested.v1</x:v>
      </x:c>
      <x:c r="AN34" s="210"/>
      <x:c r="AO34" s="210"/>
      <x:c r="AP34" s="210"/>
      <x:c r="AQ34" s="210"/>
      <x:c r="AR34" s="210"/>
      <x:c r="AS34" s="210"/>
      <x:c r="AT34" s="210"/>
      <x:c r="AU34" s="210"/>
      <x:c r="AV34" s="210"/>
      <x:c r="AW34" s="210"/>
      <x:c r="AX34" s="210"/>
      <x:c r="AY34" s="210"/>
      <x:c r="AZ34" s="210"/>
    </x:row>
    <x:row r="35" ht="13.5" customHeight="1">
      <x:c r="A35" s="210" t="str">
        <x:v>outbox_event</x:v>
      </x:c>
      <x:c r="B35" s="210"/>
      <x:c r="C35" s="210"/>
      <x:c r="D35" s="210"/>
      <x:c r="E35" s="210"/>
      <x:c r="F35" s="210"/>
      <x:c r="G35" s="210"/>
      <x:c r="H35" s="210"/>
      <x:c r="I35" s="210"/>
      <x:c r="J35" s="210"/>
      <x:c r="K35" s="210" t="str">
        <x:v>payload</x:v>
      </x:c>
      <x:c r="L35" s="210"/>
      <x:c r="M35" s="210"/>
      <x:c r="N35" s="210"/>
      <x:c r="O35" s="210"/>
      <x:c r="P35" s="210"/>
      <x:c r="Q35" s="210"/>
      <x:c r="R35" s="210"/>
      <x:c r="S35" s="210"/>
      <x:c r="T35" s="210" t="str">
        <x:v>jsonb</x:v>
      </x:c>
      <x:c r="U35" s="210"/>
      <x:c r="V35" s="210"/>
      <x:c r="W35" s="210"/>
      <x:c r="X35" s="210"/>
      <x:c r="Y35" s="210"/>
      <x:c r="Z35" s="210"/>
      <x:c r="AA35" s="210"/>
      <x:c r="AB35" s="210" t="str">
        <x:v>NO</x:v>
      </x:c>
      <x:c r="AC35" s="210"/>
      <x:c r="AD35" s="210"/>
      <x:c r="AE35" s="210"/>
      <x:c r="AF35" s="210"/>
      <x:c r="AG35" s="210"/>
      <x:c r="AH35" s="210" t="str">
        <x:v>—</x:v>
      </x:c>
      <x:c r="AI35" s="210"/>
      <x:c r="AJ35" s="210"/>
      <x:c r="AK35" s="210"/>
      <x:c r="AL35" s="210"/>
      <x:c r="AM35" s="210" t="str">
        <x:v>スキーマEVT-01</x:v>
      </x:c>
      <x:c r="AN35" s="210"/>
      <x:c r="AO35" s="210"/>
      <x:c r="AP35" s="210"/>
      <x:c r="AQ35" s="210"/>
      <x:c r="AR35" s="210"/>
      <x:c r="AS35" s="210"/>
      <x:c r="AT35" s="210"/>
      <x:c r="AU35" s="210"/>
      <x:c r="AV35" s="210"/>
      <x:c r="AW35" s="210"/>
      <x:c r="AX35" s="210"/>
      <x:c r="AY35" s="210"/>
      <x:c r="AZ35" s="210"/>
    </x:row>
    <x:row r="36" ht="13.5" customHeight="1">
      <x:c r="A36" s="210" t="str">
        <x:v>outbox_event</x:v>
      </x:c>
      <x:c r="B36" s="210"/>
      <x:c r="C36" s="210"/>
      <x:c r="D36" s="210"/>
      <x:c r="E36" s="210"/>
      <x:c r="F36" s="210"/>
      <x:c r="G36" s="210"/>
      <x:c r="H36" s="210"/>
      <x:c r="I36" s="210"/>
      <x:c r="J36" s="210"/>
      <x:c r="K36" s="210" t="str">
        <x:v>status</x:v>
      </x:c>
      <x:c r="L36" s="210"/>
      <x:c r="M36" s="210"/>
      <x:c r="N36" s="210"/>
      <x:c r="O36" s="210"/>
      <x:c r="P36" s="210"/>
      <x:c r="Q36" s="210"/>
      <x:c r="R36" s="210"/>
      <x:c r="S36" s="210"/>
      <x:c r="T36" s="210" t="str">
        <x:v>varchar(16)</x:v>
      </x:c>
      <x:c r="U36" s="210"/>
      <x:c r="V36" s="210"/>
      <x:c r="W36" s="210"/>
      <x:c r="X36" s="210"/>
      <x:c r="Y36" s="210"/>
      <x:c r="Z36" s="210"/>
      <x:c r="AA36" s="210"/>
      <x:c r="AB36" s="210" t="str">
        <x:v>NO</x:v>
      </x:c>
      <x:c r="AC36" s="210"/>
      <x:c r="AD36" s="210"/>
      <x:c r="AE36" s="210"/>
      <x:c r="AF36" s="210"/>
      <x:c r="AG36" s="210"/>
      <x:c r="AH36" s="210" t="str">
        <x:v>IDX</x:v>
      </x:c>
      <x:c r="AI36" s="210"/>
      <x:c r="AJ36" s="210"/>
      <x:c r="AK36" s="210"/>
      <x:c r="AL36" s="210"/>
      <x:c r="AM36" s="210" t="str">
        <x:v>NEW/SENDING/SENT/FAILED</x:v>
      </x:c>
      <x:c r="AN36" s="210"/>
      <x:c r="AO36" s="210"/>
      <x:c r="AP36" s="210"/>
      <x:c r="AQ36" s="210"/>
      <x:c r="AR36" s="210"/>
      <x:c r="AS36" s="210"/>
      <x:c r="AT36" s="210"/>
      <x:c r="AU36" s="210"/>
      <x:c r="AV36" s="210"/>
      <x:c r="AW36" s="210"/>
      <x:c r="AX36" s="210"/>
      <x:c r="AY36" s="210"/>
      <x:c r="AZ36" s="210"/>
    </x:row>
    <x:row r="37" ht="13.5" customHeight="1">
      <x:c r="A37" s="210" t="str">
        <x:v>outbox_event</x:v>
      </x:c>
      <x:c r="B37" s="210"/>
      <x:c r="C37" s="210"/>
      <x:c r="D37" s="210"/>
      <x:c r="E37" s="210"/>
      <x:c r="F37" s="210"/>
      <x:c r="G37" s="210"/>
      <x:c r="H37" s="210"/>
      <x:c r="I37" s="210"/>
      <x:c r="J37" s="210"/>
      <x:c r="K37" s="210" t="str">
        <x:v>retry_count</x:v>
      </x:c>
      <x:c r="L37" s="210"/>
      <x:c r="M37" s="210"/>
      <x:c r="N37" s="210"/>
      <x:c r="O37" s="210"/>
      <x:c r="P37" s="210"/>
      <x:c r="Q37" s="210"/>
      <x:c r="R37" s="210"/>
      <x:c r="S37" s="210"/>
      <x:c r="T37" s="210" t="str">
        <x:v>smallint</x:v>
      </x:c>
      <x:c r="U37" s="210"/>
      <x:c r="V37" s="210"/>
      <x:c r="W37" s="210"/>
      <x:c r="X37" s="210"/>
      <x:c r="Y37" s="210"/>
      <x:c r="Z37" s="210"/>
      <x:c r="AA37" s="210"/>
      <x:c r="AB37" s="210" t="str">
        <x:v>NO</x:v>
      </x:c>
      <x:c r="AC37" s="210"/>
      <x:c r="AD37" s="210"/>
      <x:c r="AE37" s="210"/>
      <x:c r="AF37" s="210"/>
      <x:c r="AG37" s="210"/>
      <x:c r="AH37" s="210" t="str">
        <x:v>—</x:v>
      </x:c>
      <x:c r="AI37" s="210"/>
      <x:c r="AJ37" s="210"/>
      <x:c r="AK37" s="210"/>
      <x:c r="AL37" s="210"/>
      <x:c r="AM37" s="210" t="str">
        <x:v>初期値0、上限5</x:v>
      </x:c>
      <x:c r="AN37" s="210"/>
      <x:c r="AO37" s="210"/>
      <x:c r="AP37" s="210"/>
      <x:c r="AQ37" s="210"/>
      <x:c r="AR37" s="210"/>
      <x:c r="AS37" s="210"/>
      <x:c r="AT37" s="210"/>
      <x:c r="AU37" s="210"/>
      <x:c r="AV37" s="210"/>
      <x:c r="AW37" s="210"/>
      <x:c r="AX37" s="210"/>
      <x:c r="AY37" s="210"/>
      <x:c r="AZ37" s="210"/>
    </x:row>
    <x:row r="38" ht="13.5" customHeight="1">
      <x:c r="A38" s="210" t="str">
        <x:v>outbox_event</x:v>
      </x:c>
      <x:c r="B38" s="210"/>
      <x:c r="C38" s="210"/>
      <x:c r="D38" s="210"/>
      <x:c r="E38" s="210"/>
      <x:c r="F38" s="210"/>
      <x:c r="G38" s="210"/>
      <x:c r="H38" s="210"/>
      <x:c r="I38" s="210"/>
      <x:c r="J38" s="210"/>
      <x:c r="K38" s="210" t="str">
        <x:v>next_attempt_at</x:v>
      </x:c>
      <x:c r="L38" s="210"/>
      <x:c r="M38" s="210"/>
      <x:c r="N38" s="210"/>
      <x:c r="O38" s="210"/>
      <x:c r="P38" s="210"/>
      <x:c r="Q38" s="210"/>
      <x:c r="R38" s="210"/>
      <x:c r="S38" s="210"/>
      <x:c r="T38" s="210" t="str">
        <x:v>timestamptz</x:v>
      </x:c>
      <x:c r="U38" s="210"/>
      <x:c r="V38" s="210"/>
      <x:c r="W38" s="210"/>
      <x:c r="X38" s="210"/>
      <x:c r="Y38" s="210"/>
      <x:c r="Z38" s="210"/>
      <x:c r="AA38" s="210"/>
      <x:c r="AB38" s="210" t="str">
        <x:v>YES</x:v>
      </x:c>
      <x:c r="AC38" s="210"/>
      <x:c r="AD38" s="210"/>
      <x:c r="AE38" s="210"/>
      <x:c r="AF38" s="210"/>
      <x:c r="AG38" s="210"/>
      <x:c r="AH38" s="210" t="str">
        <x:v>IDX</x:v>
      </x:c>
      <x:c r="AI38" s="210"/>
      <x:c r="AJ38" s="210"/>
      <x:c r="AK38" s="210"/>
      <x:c r="AL38" s="210"/>
      <x:c r="AM38" s="210" t="str">
        <x:v>次回再送時刻</x:v>
      </x:c>
      <x:c r="AN38" s="210"/>
      <x:c r="AO38" s="210"/>
      <x:c r="AP38" s="210"/>
      <x:c r="AQ38" s="210"/>
      <x:c r="AR38" s="210"/>
      <x:c r="AS38" s="210"/>
      <x:c r="AT38" s="210"/>
      <x:c r="AU38" s="210"/>
      <x:c r="AV38" s="210"/>
      <x:c r="AW38" s="210"/>
      <x:c r="AX38" s="210"/>
      <x:c r="AY38" s="210"/>
      <x:c r="AZ38" s="210"/>
    </x:row>
    <x:row r="39" ht="13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 ht="13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 ht="13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 ht="13.5" customHeight="1">
      <x:c r="A42" s="77" t="str">
        <x:v>6.4 状態コード</x:v>
      </x:c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78"/>
      <x:c r="U42" s="78"/>
      <x:c r="V42" s="78"/>
      <x:c r="W42" s="78"/>
      <x:c r="X42" s="78"/>
      <x:c r="Y42" s="78"/>
      <x:c r="Z42" s="79"/>
      <x:c r="AA42" s="2"/>
      <x:c r="AB42" s="77" t="str">
        <x:v>6.5 整合性・監査ルール</x:v>
      </x:c>
      <x:c r="AC42" s="78"/>
      <x:c r="AD42" s="78"/>
      <x:c r="AE42" s="78"/>
      <x:c r="AF42" s="78"/>
      <x:c r="AG42" s="78"/>
      <x:c r="AH42" s="78"/>
      <x:c r="AI42" s="78"/>
      <x:c r="AJ42" s="78"/>
      <x:c r="AK42" s="78"/>
      <x:c r="AL42" s="78"/>
      <x:c r="AM42" s="78"/>
      <x:c r="AN42" s="78"/>
      <x:c r="AO42" s="78"/>
      <x:c r="AP42" s="78"/>
      <x:c r="AQ42" s="78"/>
      <x:c r="AR42" s="78"/>
      <x:c r="AS42" s="78"/>
      <x:c r="AT42" s="78"/>
      <x:c r="AU42" s="78"/>
      <x:c r="AV42" s="78"/>
      <x:c r="AW42" s="78"/>
      <x:c r="AX42" s="78"/>
      <x:c r="AY42" s="78"/>
      <x:c r="AZ42" s="79"/>
    </x:row>
    <x:row r="43" ht="13.5" customHeight="1">
      <x:c r="A43" s="80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2"/>
      <x:c r="AA43" s="2"/>
      <x:c r="AB43" s="80"/>
      <x:c r="AC43" s="81"/>
      <x:c r="AD43" s="81"/>
      <x:c r="AE43" s="81"/>
      <x:c r="AF43" s="81"/>
      <x:c r="AG43" s="81"/>
      <x:c r="AH43" s="81"/>
      <x:c r="AI43" s="81"/>
      <x:c r="AJ43" s="81"/>
      <x:c r="AK43" s="81"/>
      <x:c r="AL43" s="81"/>
      <x:c r="AM43" s="81"/>
      <x:c r="AN43" s="81"/>
      <x:c r="AO43" s="81"/>
      <x:c r="AP43" s="81"/>
      <x:c r="AQ43" s="81"/>
      <x:c r="AR43" s="81"/>
      <x:c r="AS43" s="81"/>
      <x:c r="AT43" s="81"/>
      <x:c r="AU43" s="81"/>
      <x:c r="AV43" s="81"/>
      <x:c r="AW43" s="81"/>
      <x:c r="AX43" s="81"/>
      <x:c r="AY43" s="81"/>
      <x:c r="AZ43" s="82"/>
    </x:row>
    <x:row r="44" ht="13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 ht="13.5" customHeight="1">
      <x:c r="A45" s="127" t="str">
        <x:v>コード</x:v>
      </x:c>
      <x:c r="B45" s="127"/>
      <x:c r="C45" s="127"/>
      <x:c r="D45" s="127"/>
      <x:c r="E45" s="127"/>
      <x:c r="F45" s="127"/>
      <x:c r="G45" s="127"/>
      <x:c r="H45" s="127"/>
      <x:c r="I45" s="127" t="str">
        <x:v>表示名</x:v>
      </x:c>
      <x:c r="J45" s="127"/>
      <x:c r="K45" s="127"/>
      <x:c r="L45" s="127"/>
      <x:c r="M45" s="127"/>
      <x:c r="N45" s="127"/>
      <x:c r="O45" s="127" t="str">
        <x:v>終端</x:v>
      </x:c>
      <x:c r="P45" s="127"/>
      <x:c r="Q45" s="127"/>
      <x:c r="R45" s="127"/>
      <x:c r="S45" s="127" t="str">
        <x:v>許可操作</x:v>
      </x:c>
      <x:c r="T45" s="127"/>
      <x:c r="U45" s="127"/>
      <x:c r="V45" s="127"/>
      <x:c r="W45" s="127"/>
      <x:c r="X45" s="127"/>
      <x:c r="Y45" s="127"/>
      <x:c r="Z45" s="127"/>
      <x:c r="AA45" s="2"/>
      <x:c r="AB45" s="127" t="str">
        <x:v>ルールID</x:v>
      </x:c>
      <x:c r="AC45" s="127"/>
      <x:c r="AD45" s="127"/>
      <x:c r="AE45" s="127"/>
      <x:c r="AF45" s="127"/>
      <x:c r="AG45" s="127"/>
      <x:c r="AH45" s="127" t="str">
        <x:v>ルール</x:v>
      </x:c>
      <x:c r="AI45" s="127"/>
      <x:c r="AJ45" s="127"/>
      <x:c r="AK45" s="127"/>
      <x:c r="AL45" s="127"/>
      <x:c r="AM45" s="127"/>
      <x:c r="AN45" s="127"/>
      <x:c r="AO45" s="127"/>
      <x:c r="AP45" s="127"/>
      <x:c r="AQ45" s="127"/>
      <x:c r="AR45" s="127"/>
      <x:c r="AS45" s="127"/>
      <x:c r="AT45" s="127" t="str">
        <x:v>実装ポイント</x:v>
      </x:c>
      <x:c r="AU45" s="127"/>
      <x:c r="AV45" s="127"/>
      <x:c r="AW45" s="127"/>
      <x:c r="AX45" s="127"/>
      <x:c r="AY45" s="127"/>
      <x:c r="AZ45" s="127"/>
    </x:row>
    <x:row r="46" ht="13.5" customHeight="1">
      <x:c r="A46" s="210" t="str">
        <x:v>DRAFT</x:v>
      </x:c>
      <x:c r="B46" s="210"/>
      <x:c r="C46" s="210"/>
      <x:c r="D46" s="210"/>
      <x:c r="E46" s="210"/>
      <x:c r="F46" s="210"/>
      <x:c r="G46" s="210"/>
      <x:c r="H46" s="210"/>
      <x:c r="I46" s="210" t="str">
        <x:v>下書き</x:v>
      </x:c>
      <x:c r="J46" s="210"/>
      <x:c r="K46" s="210"/>
      <x:c r="L46" s="210"/>
      <x:c r="M46" s="210"/>
      <x:c r="N46" s="210"/>
      <x:c r="O46" s="210" t="str">
        <x:v>—</x:v>
      </x:c>
      <x:c r="P46" s="210"/>
      <x:c r="Q46" s="210"/>
      <x:c r="R46" s="210"/>
      <x:c r="S46" s="210" t="str">
        <x:v>編集／提出／取消</x:v>
      </x:c>
      <x:c r="T46" s="210"/>
      <x:c r="U46" s="210"/>
      <x:c r="V46" s="210"/>
      <x:c r="W46" s="210"/>
      <x:c r="X46" s="210"/>
      <x:c r="Y46" s="210"/>
      <x:c r="Z46" s="210"/>
      <x:c r="AA46" s="2"/>
      <x:c r="AB46" s="210" t="str">
        <x:v>DR-01</x:v>
      </x:c>
      <x:c r="AC46" s="210"/>
      <x:c r="AD46" s="210"/>
      <x:c r="AE46" s="210"/>
      <x:c r="AF46" s="210"/>
      <x:c r="AG46" s="210"/>
      <x:c r="AH46" s="210" t="str">
        <x:v>amount &gt; 0</x:v>
      </x:c>
      <x:c r="AI46" s="210"/>
      <x:c r="AJ46" s="210"/>
      <x:c r="AK46" s="210"/>
      <x:c r="AL46" s="210"/>
      <x:c r="AM46" s="210"/>
      <x:c r="AN46" s="210"/>
      <x:c r="AO46" s="210"/>
      <x:c r="AP46" s="210"/>
      <x:c r="AQ46" s="210"/>
      <x:c r="AR46" s="210"/>
      <x:c r="AS46" s="210"/>
      <x:c r="AT46" s="210" t="str">
        <x:v>DB CHECK + API検証</x:v>
      </x:c>
      <x:c r="AU46" s="210"/>
      <x:c r="AV46" s="210"/>
      <x:c r="AW46" s="210"/>
      <x:c r="AX46" s="210"/>
      <x:c r="AY46" s="210"/>
      <x:c r="AZ46" s="210"/>
    </x:row>
    <x:row r="47" ht="13.5" customHeight="1">
      <x:c r="A47" s="210" t="str">
        <x:v>SUBMITTED</x:v>
      </x:c>
      <x:c r="B47" s="210"/>
      <x:c r="C47" s="210"/>
      <x:c r="D47" s="210"/>
      <x:c r="E47" s="210"/>
      <x:c r="F47" s="210"/>
      <x:c r="G47" s="210"/>
      <x:c r="H47" s="210"/>
      <x:c r="I47" s="210" t="str">
        <x:v>提出済</x:v>
      </x:c>
      <x:c r="J47" s="210"/>
      <x:c r="K47" s="210"/>
      <x:c r="L47" s="210"/>
      <x:c r="M47" s="210"/>
      <x:c r="N47" s="210"/>
      <x:c r="O47" s="210" t="str">
        <x:v>—</x:v>
      </x:c>
      <x:c r="P47" s="210"/>
      <x:c r="Q47" s="210"/>
      <x:c r="R47" s="210"/>
      <x:c r="S47" s="210" t="str">
        <x:v>参照</x:v>
      </x:c>
      <x:c r="T47" s="210"/>
      <x:c r="U47" s="210"/>
      <x:c r="V47" s="210"/>
      <x:c r="W47" s="210"/>
      <x:c r="X47" s="210"/>
      <x:c r="Y47" s="210"/>
      <x:c r="Z47" s="210"/>
      <x:c r="AA47" s="2"/>
      <x:c r="AB47" s="210" t="str">
        <x:v>DR-02</x:v>
      </x:c>
      <x:c r="AC47" s="210"/>
      <x:c r="AD47" s="210"/>
      <x:c r="AE47" s="210"/>
      <x:c r="AF47" s="210"/>
      <x:c r="AG47" s="210"/>
      <x:c r="AH47" s="210" t="str">
        <x:v>状態遷移表にない更新を拒否</x:v>
      </x:c>
      <x:c r="AI47" s="210"/>
      <x:c r="AJ47" s="210"/>
      <x:c r="AK47" s="210"/>
      <x:c r="AL47" s="210"/>
      <x:c r="AM47" s="210"/>
      <x:c r="AN47" s="210"/>
      <x:c r="AO47" s="210"/>
      <x:c r="AP47" s="210"/>
      <x:c r="AQ47" s="210"/>
      <x:c r="AR47" s="210"/>
      <x:c r="AS47" s="210"/>
      <x:c r="AT47" s="210" t="str">
        <x:v>ドメインサービス</x:v>
      </x:c>
      <x:c r="AU47" s="210"/>
      <x:c r="AV47" s="210"/>
      <x:c r="AW47" s="210"/>
      <x:c r="AX47" s="210"/>
      <x:c r="AY47" s="210"/>
      <x:c r="AZ47" s="210"/>
    </x:row>
    <x:row r="48" ht="13.5" customHeight="1">
      <x:c r="A48" s="210" t="str">
        <x:v>PENDING</x:v>
      </x:c>
      <x:c r="B48" s="210"/>
      <x:c r="C48" s="210"/>
      <x:c r="D48" s="210"/>
      <x:c r="E48" s="210"/>
      <x:c r="F48" s="210"/>
      <x:c r="G48" s="210"/>
      <x:c r="H48" s="210"/>
      <x:c r="I48" s="210" t="str">
        <x:v>承認待ち</x:v>
      </x:c>
      <x:c r="J48" s="210"/>
      <x:c r="K48" s="210"/>
      <x:c r="L48" s="210"/>
      <x:c r="M48" s="210"/>
      <x:c r="N48" s="210"/>
      <x:c r="O48" s="210" t="str">
        <x:v>—</x:v>
      </x:c>
      <x:c r="P48" s="210"/>
      <x:c r="Q48" s="210"/>
      <x:c r="R48" s="210"/>
      <x:c r="S48" s="210" t="str">
        <x:v>承認／差戻し</x:v>
      </x:c>
      <x:c r="T48" s="210"/>
      <x:c r="U48" s="210"/>
      <x:c r="V48" s="210"/>
      <x:c r="W48" s="210"/>
      <x:c r="X48" s="210"/>
      <x:c r="Y48" s="210"/>
      <x:c r="Z48" s="210"/>
      <x:c r="AA48" s="2"/>
      <x:c r="AB48" s="210" t="str">
        <x:v>DR-03</x:v>
      </x:c>
      <x:c r="AC48" s="210"/>
      <x:c r="AD48" s="210"/>
      <x:c r="AE48" s="210"/>
      <x:c r="AF48" s="210"/>
      <x:c r="AG48" s="210"/>
      <x:c r="AH48" s="210" t="str">
        <x:v>version一致時のみ更新</x:v>
      </x:c>
      <x:c r="AI48" s="210"/>
      <x:c r="AJ48" s="210"/>
      <x:c r="AK48" s="210"/>
      <x:c r="AL48" s="210"/>
      <x:c r="AM48" s="210"/>
      <x:c r="AN48" s="210"/>
      <x:c r="AO48" s="210"/>
      <x:c r="AP48" s="210"/>
      <x:c r="AQ48" s="210"/>
      <x:c r="AR48" s="210"/>
      <x:c r="AS48" s="210"/>
      <x:c r="AT48" s="210" t="str">
        <x:v>UPDATE ... WHERE version=?</x:v>
      </x:c>
      <x:c r="AU48" s="210"/>
      <x:c r="AV48" s="210"/>
      <x:c r="AW48" s="210"/>
      <x:c r="AX48" s="210"/>
      <x:c r="AY48" s="210"/>
      <x:c r="AZ48" s="210"/>
    </x:row>
    <x:row r="49" ht="13.5" customHeight="1">
      <x:c r="A49" s="210" t="str">
        <x:v>RETURNED</x:v>
      </x:c>
      <x:c r="B49" s="210"/>
      <x:c r="C49" s="210"/>
      <x:c r="D49" s="210"/>
      <x:c r="E49" s="210"/>
      <x:c r="F49" s="210"/>
      <x:c r="G49" s="210"/>
      <x:c r="H49" s="210"/>
      <x:c r="I49" s="210" t="str">
        <x:v>差戻し</x:v>
      </x:c>
      <x:c r="J49" s="210"/>
      <x:c r="K49" s="210"/>
      <x:c r="L49" s="210"/>
      <x:c r="M49" s="210"/>
      <x:c r="N49" s="210"/>
      <x:c r="O49" s="210" t="str">
        <x:v>—</x:v>
      </x:c>
      <x:c r="P49" s="210"/>
      <x:c r="Q49" s="210"/>
      <x:c r="R49" s="210"/>
      <x:c r="S49" s="210" t="str">
        <x:v>編集／再提出</x:v>
      </x:c>
      <x:c r="T49" s="210"/>
      <x:c r="U49" s="210"/>
      <x:c r="V49" s="210"/>
      <x:c r="W49" s="210"/>
      <x:c r="X49" s="210"/>
      <x:c r="Y49" s="210"/>
      <x:c r="Z49" s="210"/>
      <x:c r="AA49" s="2"/>
      <x:c r="AB49" s="210" t="str">
        <x:v>DR-04</x:v>
      </x:c>
      <x:c r="AC49" s="210"/>
      <x:c r="AD49" s="210"/>
      <x:c r="AE49" s="210"/>
      <x:c r="AF49" s="210"/>
      <x:c r="AG49" s="210"/>
      <x:c r="AH49" s="210" t="str">
        <x:v>同一Idempotency-Keyは同じ結果</x:v>
      </x:c>
      <x:c r="AI49" s="210"/>
      <x:c r="AJ49" s="210"/>
      <x:c r="AK49" s="210"/>
      <x:c r="AL49" s="210"/>
      <x:c r="AM49" s="210"/>
      <x:c r="AN49" s="210"/>
      <x:c r="AO49" s="210"/>
      <x:c r="AP49" s="210"/>
      <x:c r="AQ49" s="210"/>
      <x:c r="AR49" s="210"/>
      <x:c r="AS49" s="210"/>
      <x:c r="AT49" s="210" t="str">
        <x:v>一意制約</x:v>
      </x:c>
      <x:c r="AU49" s="210"/>
      <x:c r="AV49" s="210"/>
      <x:c r="AW49" s="210"/>
      <x:c r="AX49" s="210"/>
      <x:c r="AY49" s="210"/>
      <x:c r="AZ49" s="210"/>
    </x:row>
    <x:row r="50" ht="13.5" customHeight="1">
      <x:c r="A50" s="210" t="str">
        <x:v>APPROVED</x:v>
      </x:c>
      <x:c r="B50" s="210"/>
      <x:c r="C50" s="210"/>
      <x:c r="D50" s="210"/>
      <x:c r="E50" s="210"/>
      <x:c r="F50" s="210"/>
      <x:c r="G50" s="210"/>
      <x:c r="H50" s="210"/>
      <x:c r="I50" s="210" t="str">
        <x:v>承認済</x:v>
      </x:c>
      <x:c r="J50" s="210"/>
      <x:c r="K50" s="210"/>
      <x:c r="L50" s="210"/>
      <x:c r="M50" s="210"/>
      <x:c r="N50" s="210"/>
      <x:c r="O50" s="210" t="str">
        <x:v>—</x:v>
      </x:c>
      <x:c r="P50" s="210"/>
      <x:c r="Q50" s="210"/>
      <x:c r="R50" s="210"/>
      <x:c r="S50" s="210" t="str">
        <x:v>参照</x:v>
      </x:c>
      <x:c r="T50" s="210"/>
      <x:c r="U50" s="210"/>
      <x:c r="V50" s="210"/>
      <x:c r="W50" s="210"/>
      <x:c r="X50" s="210"/>
      <x:c r="Y50" s="210"/>
      <x:c r="Z50" s="210"/>
      <x:c r="AA50" s="2"/>
      <x:c r="AB50" s="210" t="str">
        <x:v>DR-05</x:v>
      </x:c>
      <x:c r="AC50" s="210"/>
      <x:c r="AD50" s="210"/>
      <x:c r="AE50" s="210"/>
      <x:c r="AF50" s="210"/>
      <x:c r="AG50" s="210"/>
      <x:c r="AH50" s="210" t="str">
        <x:v>PIIをアプリログへ出力しない</x:v>
      </x:c>
      <x:c r="AI50" s="210"/>
      <x:c r="AJ50" s="210"/>
      <x:c r="AK50" s="210"/>
      <x:c r="AL50" s="210"/>
      <x:c r="AM50" s="210"/>
      <x:c r="AN50" s="210"/>
      <x:c r="AO50" s="210"/>
      <x:c r="AP50" s="210"/>
      <x:c r="AQ50" s="210"/>
      <x:c r="AR50" s="210"/>
      <x:c r="AS50" s="210"/>
      <x:c r="AT50" s="210" t="str">
        <x:v>ログフィルタ</x:v>
      </x:c>
      <x:c r="AU50" s="210"/>
      <x:c r="AV50" s="210"/>
      <x:c r="AW50" s="210"/>
      <x:c r="AX50" s="210"/>
      <x:c r="AY50" s="210"/>
      <x:c r="AZ50" s="210"/>
    </x:row>
    <x:row r="51" ht="13.5" customHeight="1">
      <x:c r="A51" s="210" t="str">
        <x:v>PAYMENT_PENDING</x:v>
      </x:c>
      <x:c r="B51" s="210"/>
      <x:c r="C51" s="210"/>
      <x:c r="D51" s="210"/>
      <x:c r="E51" s="210"/>
      <x:c r="F51" s="210"/>
      <x:c r="G51" s="210"/>
      <x:c r="H51" s="210"/>
      <x:c r="I51" s="210" t="str">
        <x:v>支払待ち</x:v>
      </x:c>
      <x:c r="J51" s="210"/>
      <x:c r="K51" s="210"/>
      <x:c r="L51" s="210"/>
      <x:c r="M51" s="210"/>
      <x:c r="N51" s="210"/>
      <x:c r="O51" s="210" t="str">
        <x:v>—</x:v>
      </x:c>
      <x:c r="P51" s="210"/>
      <x:c r="Q51" s="210"/>
      <x:c r="R51" s="210"/>
      <x:c r="S51" s="210" t="str">
        <x:v>参照</x:v>
      </x:c>
      <x:c r="T51" s="210"/>
      <x:c r="U51" s="210"/>
      <x:c r="V51" s="210"/>
      <x:c r="W51" s="210"/>
      <x:c r="X51" s="210"/>
      <x:c r="Y51" s="210"/>
      <x:c r="Z51" s="210"/>
      <x:c r="AA51" s="2"/>
      <x:c r="AB51" s="210" t="str">
        <x:v>DR-06</x:v>
      </x:c>
      <x:c r="AC51" s="210"/>
      <x:c r="AD51" s="210"/>
      <x:c r="AE51" s="210"/>
      <x:c r="AF51" s="210"/>
      <x:c r="AG51" s="210"/>
      <x:c r="AH51" s="210" t="str">
        <x:v>全状態変更を監査記録</x:v>
      </x:c>
      <x:c r="AI51" s="210"/>
      <x:c r="AJ51" s="210"/>
      <x:c r="AK51" s="210"/>
      <x:c r="AL51" s="210"/>
      <x:c r="AM51" s="210"/>
      <x:c r="AN51" s="210"/>
      <x:c r="AO51" s="210"/>
      <x:c r="AP51" s="210"/>
      <x:c r="AQ51" s="210"/>
      <x:c r="AR51" s="210"/>
      <x:c r="AS51" s="210"/>
      <x:c r="AT51" s="210" t="str">
        <x:v>audit_log</x:v>
      </x:c>
      <x:c r="AU51" s="210"/>
      <x:c r="AV51" s="210"/>
      <x:c r="AW51" s="210"/>
      <x:c r="AX51" s="210"/>
      <x:c r="AY51" s="210"/>
      <x:c r="AZ51" s="210"/>
    </x:row>
    <x:row r="52" ht="13.5" customHeight="1">
      <x:c r="A52" s="210" t="str">
        <x:v>PAID</x:v>
      </x:c>
      <x:c r="B52" s="210"/>
      <x:c r="C52" s="210"/>
      <x:c r="D52" s="210"/>
      <x:c r="E52" s="210"/>
      <x:c r="F52" s="210"/>
      <x:c r="G52" s="210"/>
      <x:c r="H52" s="210"/>
      <x:c r="I52" s="210" t="str">
        <x:v>支払済</x:v>
      </x:c>
      <x:c r="J52" s="210"/>
      <x:c r="K52" s="210"/>
      <x:c r="L52" s="210"/>
      <x:c r="M52" s="210"/>
      <x:c r="N52" s="210"/>
      <x:c r="O52" s="210" t="str">
        <x:v>○</x:v>
      </x:c>
      <x:c r="P52" s="210"/>
      <x:c r="Q52" s="210"/>
      <x:c r="R52" s="210"/>
      <x:c r="S52" s="210" t="str">
        <x:v>参照</x:v>
      </x:c>
      <x:c r="T52" s="210"/>
      <x:c r="U52" s="210"/>
      <x:c r="V52" s="210"/>
      <x:c r="W52" s="210"/>
      <x:c r="X52" s="210"/>
      <x:c r="Y52" s="210"/>
      <x:c r="Z52" s="210"/>
      <x:c r="AA52" s="2"/>
      <x:c r="AB52" s="210" t="str">
        <x:v>DR-07</x:v>
      </x:c>
      <x:c r="AC52" s="210"/>
      <x:c r="AD52" s="210"/>
      <x:c r="AE52" s="210"/>
      <x:c r="AF52" s="210"/>
      <x:c r="AG52" s="210"/>
      <x:c r="AH52" s="210" t="str">
        <x:v>イベント未送信を再取得可能</x:v>
      </x:c>
      <x:c r="AI52" s="210"/>
      <x:c r="AJ52" s="210"/>
      <x:c r="AK52" s="210"/>
      <x:c r="AL52" s="210"/>
      <x:c r="AM52" s="210"/>
      <x:c r="AN52" s="210"/>
      <x:c r="AO52" s="210"/>
      <x:c r="AP52" s="210"/>
      <x:c r="AQ52" s="210"/>
      <x:c r="AR52" s="210"/>
      <x:c r="AS52" s="210"/>
      <x:c r="AT52" s="210" t="str">
        <x:v>outbox_event</x:v>
      </x:c>
      <x:c r="AU52" s="210"/>
      <x:c r="AV52" s="210"/>
      <x:c r="AW52" s="210"/>
      <x:c r="AX52" s="210"/>
      <x:c r="AY52" s="210"/>
      <x:c r="AZ52" s="210"/>
    </x:row>
    <x:row r="53" ht="13.5" customHeight="1">
      <x:c r="A53" s="210" t="str">
        <x:v>CANCELLED</x:v>
      </x:c>
      <x:c r="B53" s="210"/>
      <x:c r="C53" s="210"/>
      <x:c r="D53" s="210"/>
      <x:c r="E53" s="210"/>
      <x:c r="F53" s="210"/>
      <x:c r="G53" s="210"/>
      <x:c r="H53" s="210"/>
      <x:c r="I53" s="210" t="str">
        <x:v>取消</x:v>
      </x:c>
      <x:c r="J53" s="210"/>
      <x:c r="K53" s="210"/>
      <x:c r="L53" s="210"/>
      <x:c r="M53" s="210"/>
      <x:c r="N53" s="210"/>
      <x:c r="O53" s="210" t="str">
        <x:v>○</x:v>
      </x:c>
      <x:c r="P53" s="210"/>
      <x:c r="Q53" s="210"/>
      <x:c r="R53" s="210"/>
      <x:c r="S53" s="210" t="str">
        <x:v>参照</x:v>
      </x:c>
      <x:c r="T53" s="210"/>
      <x:c r="U53" s="210"/>
      <x:c r="V53" s="210"/>
      <x:c r="W53" s="210"/>
      <x:c r="X53" s="210"/>
      <x:c r="Y53" s="210"/>
      <x:c r="Z53" s="210"/>
      <x:c r="AA53" s="2"/>
      <x:c r="AB53" s="210" t="str">
        <x:v>DR-08</x:v>
      </x:c>
      <x:c r="AC53" s="210"/>
      <x:c r="AD53" s="210"/>
      <x:c r="AE53" s="210"/>
      <x:c r="AF53" s="210"/>
      <x:c r="AG53" s="210"/>
      <x:c r="AH53" s="210" t="str">
        <x:v>領収書は暗号化保管</x:v>
      </x:c>
      <x:c r="AI53" s="210"/>
      <x:c r="AJ53" s="210"/>
      <x:c r="AK53" s="210"/>
      <x:c r="AL53" s="210"/>
      <x:c r="AM53" s="210"/>
      <x:c r="AN53" s="210"/>
      <x:c r="AO53" s="210"/>
      <x:c r="AP53" s="210"/>
      <x:c r="AQ53" s="210"/>
      <x:c r="AR53" s="210"/>
      <x:c r="AS53" s="210"/>
      <x:c r="AT53" s="210" t="str">
        <x:v>オブジェクトストレージ</x:v>
      </x:c>
      <x:c r="AU53" s="210"/>
      <x:c r="AV53" s="210"/>
      <x:c r="AW53" s="210"/>
      <x:c r="AX53" s="210"/>
      <x:c r="AY53" s="210"/>
      <x:c r="AZ53" s="210"/>
    </x:row>
    <x:row r="54" ht="13.5" customHeight="1">
      <x:c r="A54" s="210" t="str">
        <x:v>ERROR</x:v>
      </x:c>
      <x:c r="B54" s="210"/>
      <x:c r="C54" s="210"/>
      <x:c r="D54" s="210"/>
      <x:c r="E54" s="210"/>
      <x:c r="F54" s="210"/>
      <x:c r="G54" s="210"/>
      <x:c r="H54" s="210"/>
      <x:c r="I54" s="210" t="str">
        <x:v>連携エラー</x:v>
      </x:c>
      <x:c r="J54" s="210"/>
      <x:c r="K54" s="210"/>
      <x:c r="L54" s="210"/>
      <x:c r="M54" s="210"/>
      <x:c r="N54" s="210"/>
      <x:c r="O54" s="210" t="str">
        <x:v>—</x:v>
      </x:c>
      <x:c r="P54" s="210"/>
      <x:c r="Q54" s="210"/>
      <x:c r="R54" s="210"/>
      <x:c r="S54" s="210" t="str">
        <x:v>再送／手動解消</x:v>
      </x:c>
      <x:c r="T54" s="210"/>
      <x:c r="U54" s="210"/>
      <x:c r="V54" s="210"/>
      <x:c r="W54" s="210"/>
      <x:c r="X54" s="210"/>
      <x:c r="Y54" s="210"/>
      <x:c r="Z54" s="210"/>
      <x:c r="AA54" s="2"/>
      <x:c r="AB54" s="210" t="str">
        <x:v>DR-09</x:v>
      </x:c>
      <x:c r="AC54" s="210"/>
      <x:c r="AD54" s="210"/>
      <x:c r="AE54" s="210"/>
      <x:c r="AF54" s="210"/>
      <x:c r="AG54" s="210"/>
      <x:c r="AH54" s="210" t="str">
        <x:v>支払済は更新不可</x:v>
      </x:c>
      <x:c r="AI54" s="210"/>
      <x:c r="AJ54" s="210"/>
      <x:c r="AK54" s="210"/>
      <x:c r="AL54" s="210"/>
      <x:c r="AM54" s="210"/>
      <x:c r="AN54" s="210"/>
      <x:c r="AO54" s="210"/>
      <x:c r="AP54" s="210"/>
      <x:c r="AQ54" s="210"/>
      <x:c r="AR54" s="210"/>
      <x:c r="AS54" s="210"/>
      <x:c r="AT54" s="210" t="str">
        <x:v>ドメイン不変条件</x:v>
      </x:c>
      <x:c r="AU54" s="210"/>
      <x:c r="AV54" s="210"/>
      <x:c r="AW54" s="210"/>
      <x:c r="AX54" s="210"/>
      <x:c r="AY54" s="210"/>
      <x:c r="AZ54" s="210"/>
    </x:row>
    <x:row r="55" ht="13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 ht="13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 ht="13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 ht="13.5" customHeight="1">
      <x:c r="A58" s="77" t="str">
        <x:v>6.6 エラー応答例</x:v>
      </x:c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78"/>
      <x:c r="U58" s="78"/>
      <x:c r="V58" s="78"/>
      <x:c r="W58" s="78"/>
      <x:c r="X58" s="78"/>
      <x:c r="Y58" s="78"/>
      <x:c r="Z58" s="78"/>
      <x:c r="AA58" s="78"/>
      <x:c r="AB58" s="78"/>
      <x:c r="AC58" s="78"/>
      <x:c r="AD58" s="78"/>
      <x:c r="AE58" s="78"/>
      <x:c r="AF58" s="78"/>
      <x:c r="AG58" s="78"/>
      <x:c r="AH58" s="78"/>
      <x:c r="AI58" s="78"/>
      <x:c r="AJ58" s="78"/>
      <x:c r="AK58" s="78"/>
      <x:c r="AL58" s="78"/>
      <x:c r="AM58" s="78"/>
      <x:c r="AN58" s="78"/>
      <x:c r="AO58" s="78"/>
      <x:c r="AP58" s="78"/>
      <x:c r="AQ58" s="78"/>
      <x:c r="AR58" s="78"/>
      <x:c r="AS58" s="78"/>
      <x:c r="AT58" s="78"/>
      <x:c r="AU58" s="78"/>
      <x:c r="AV58" s="78"/>
      <x:c r="AW58" s="78"/>
      <x:c r="AX58" s="78"/>
      <x:c r="AY58" s="78"/>
      <x:c r="AZ58" s="79"/>
    </x:row>
    <x:row r="59" ht="13.5" customHeight="1">
      <x:c r="A59" s="80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  <x:c r="AA59" s="81"/>
      <x:c r="AB59" s="81"/>
      <x:c r="AC59" s="81"/>
      <x:c r="AD59" s="81"/>
      <x:c r="AE59" s="81"/>
      <x:c r="AF59" s="81"/>
      <x:c r="AG59" s="81"/>
      <x:c r="AH59" s="81"/>
      <x:c r="AI59" s="81"/>
      <x:c r="AJ59" s="81"/>
      <x:c r="AK59" s="81"/>
      <x:c r="AL59" s="81"/>
      <x:c r="AM59" s="81"/>
      <x:c r="AN59" s="81"/>
      <x:c r="AO59" s="81"/>
      <x:c r="AP59" s="81"/>
      <x:c r="AQ59" s="81"/>
      <x:c r="AR59" s="81"/>
      <x:c r="AS59" s="81"/>
      <x:c r="AT59" s="81"/>
      <x:c r="AU59" s="81"/>
      <x:c r="AV59" s="81"/>
      <x:c r="AW59" s="81"/>
      <x:c r="AX59" s="81"/>
      <x:c r="AY59" s="81"/>
      <x:c r="AZ59" s="82"/>
    </x:row>
    <x:row r="60" ht="13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 ht="13.5" customHeight="1">
      <x:c r="A61" s="2"/>
      <x:c r="B61" s="1047" t="str">
        <x:v>HTTP/1.1 400 Bad Request
Content-Type: application/problem+json
{
  "type": "https://example.invalid/problems/validation-error",
  "title": "入力内容に誤りがあります",
  "status": 400,
  "errors": [{"field": "amount", "code": "EXP-E004"}]
}</x:v>
      </x:c>
      <x:c r="C61" s="1048"/>
      <x:c r="D61" s="1048"/>
      <x:c r="E61" s="1048"/>
      <x:c r="F61" s="1048"/>
      <x:c r="G61" s="1048"/>
      <x:c r="H61" s="1048"/>
      <x:c r="I61" s="1048"/>
      <x:c r="J61" s="1048"/>
      <x:c r="K61" s="1048"/>
      <x:c r="L61" s="1048"/>
      <x:c r="M61" s="1048"/>
      <x:c r="N61" s="1048"/>
      <x:c r="O61" s="1048"/>
      <x:c r="P61" s="1048"/>
      <x:c r="Q61" s="1048"/>
      <x:c r="R61" s="1048"/>
      <x:c r="S61" s="1048"/>
      <x:c r="T61" s="1048"/>
      <x:c r="U61" s="1048"/>
      <x:c r="V61" s="1048"/>
      <x:c r="W61" s="1048"/>
      <x:c r="X61" s="1048"/>
      <x:c r="Y61" s="1048"/>
      <x:c r="Z61" s="1048"/>
      <x:c r="AA61" s="1048"/>
      <x:c r="AB61" s="1048"/>
      <x:c r="AC61" s="1048"/>
      <x:c r="AD61" s="1048"/>
      <x:c r="AE61" s="1048"/>
      <x:c r="AF61" s="1048"/>
      <x:c r="AG61" s="1048"/>
      <x:c r="AH61" s="1048"/>
      <x:c r="AI61" s="1048"/>
      <x:c r="AJ61" s="1048"/>
      <x:c r="AK61" s="1048"/>
      <x:c r="AL61" s="1048"/>
      <x:c r="AM61" s="1048"/>
      <x:c r="AN61" s="1048"/>
      <x:c r="AO61" s="1048"/>
      <x:c r="AP61" s="1048"/>
      <x:c r="AQ61" s="1048"/>
      <x:c r="AR61" s="1048"/>
      <x:c r="AS61" s="1048"/>
      <x:c r="AT61" s="1048"/>
      <x:c r="AU61" s="1048"/>
      <x:c r="AV61" s="1048"/>
      <x:c r="AW61" s="1048"/>
      <x:c r="AX61" s="1048"/>
      <x:c r="AY61" s="1049"/>
      <x:c r="AZ61" s="2"/>
    </x:row>
    <x:row r="62" ht="13.5" customHeight="1">
      <x:c r="A62" s="2"/>
      <x:c r="B62" s="1050"/>
      <x:c r="C62" s="1051"/>
      <x:c r="D62" s="1051"/>
      <x:c r="E62" s="1051"/>
      <x:c r="F62" s="1051"/>
      <x:c r="G62" s="1051"/>
      <x:c r="H62" s="1051"/>
      <x:c r="I62" s="1051"/>
      <x:c r="J62" s="1051"/>
      <x:c r="K62" s="1051"/>
      <x:c r="L62" s="1051"/>
      <x:c r="M62" s="1051"/>
      <x:c r="N62" s="1051"/>
      <x:c r="O62" s="1051"/>
      <x:c r="P62" s="1051"/>
      <x:c r="Q62" s="1051"/>
      <x:c r="R62" s="1051"/>
      <x:c r="S62" s="1051"/>
      <x:c r="T62" s="1051"/>
      <x:c r="U62" s="1051"/>
      <x:c r="V62" s="1051"/>
      <x:c r="W62" s="1051"/>
      <x:c r="X62" s="1051"/>
      <x:c r="Y62" s="1051"/>
      <x:c r="Z62" s="1051"/>
      <x:c r="AA62" s="1051"/>
      <x:c r="AB62" s="1051"/>
      <x:c r="AC62" s="1051"/>
      <x:c r="AD62" s="1051"/>
      <x:c r="AE62" s="1051"/>
      <x:c r="AF62" s="1051"/>
      <x:c r="AG62" s="1051"/>
      <x:c r="AH62" s="1051"/>
      <x:c r="AI62" s="1051"/>
      <x:c r="AJ62" s="1051"/>
      <x:c r="AK62" s="1051"/>
      <x:c r="AL62" s="1051"/>
      <x:c r="AM62" s="1051"/>
      <x:c r="AN62" s="1051"/>
      <x:c r="AO62" s="1051"/>
      <x:c r="AP62" s="1051"/>
      <x:c r="AQ62" s="1051"/>
      <x:c r="AR62" s="1051"/>
      <x:c r="AS62" s="1051"/>
      <x:c r="AT62" s="1051"/>
      <x:c r="AU62" s="1051"/>
      <x:c r="AV62" s="1051"/>
      <x:c r="AW62" s="1051"/>
      <x:c r="AX62" s="1051"/>
      <x:c r="AY62" s="1052"/>
      <x:c r="AZ62" s="2"/>
    </x:row>
    <x:row r="63" ht="13.5" customHeight="1">
      <x:c r="A63" s="2"/>
      <x:c r="B63" s="1050"/>
      <x:c r="C63" s="1051"/>
      <x:c r="D63" s="1051"/>
      <x:c r="E63" s="1051"/>
      <x:c r="F63" s="1051"/>
      <x:c r="G63" s="1051"/>
      <x:c r="H63" s="1051"/>
      <x:c r="I63" s="1051"/>
      <x:c r="J63" s="1051"/>
      <x:c r="K63" s="1051"/>
      <x:c r="L63" s="1051"/>
      <x:c r="M63" s="1051"/>
      <x:c r="N63" s="1051"/>
      <x:c r="O63" s="1051"/>
      <x:c r="P63" s="1051"/>
      <x:c r="Q63" s="1051"/>
      <x:c r="R63" s="1051"/>
      <x:c r="S63" s="1051"/>
      <x:c r="T63" s="1051"/>
      <x:c r="U63" s="1051"/>
      <x:c r="V63" s="1051"/>
      <x:c r="W63" s="1051"/>
      <x:c r="X63" s="1051"/>
      <x:c r="Y63" s="1051"/>
      <x:c r="Z63" s="1051"/>
      <x:c r="AA63" s="1051"/>
      <x:c r="AB63" s="1051"/>
      <x:c r="AC63" s="1051"/>
      <x:c r="AD63" s="1051"/>
      <x:c r="AE63" s="1051"/>
      <x:c r="AF63" s="1051"/>
      <x:c r="AG63" s="1051"/>
      <x:c r="AH63" s="1051"/>
      <x:c r="AI63" s="1051"/>
      <x:c r="AJ63" s="1051"/>
      <x:c r="AK63" s="1051"/>
      <x:c r="AL63" s="1051"/>
      <x:c r="AM63" s="1051"/>
      <x:c r="AN63" s="1051"/>
      <x:c r="AO63" s="1051"/>
      <x:c r="AP63" s="1051"/>
      <x:c r="AQ63" s="1051"/>
      <x:c r="AR63" s="1051"/>
      <x:c r="AS63" s="1051"/>
      <x:c r="AT63" s="1051"/>
      <x:c r="AU63" s="1051"/>
      <x:c r="AV63" s="1051"/>
      <x:c r="AW63" s="1051"/>
      <x:c r="AX63" s="1051"/>
      <x:c r="AY63" s="1052"/>
      <x:c r="AZ63" s="2"/>
    </x:row>
    <x:row r="64" ht="13.5" customHeight="1">
      <x:c r="A64" s="2"/>
      <x:c r="B64" s="1050"/>
      <x:c r="C64" s="1051"/>
      <x:c r="D64" s="1051"/>
      <x:c r="E64" s="1051"/>
      <x:c r="F64" s="1051"/>
      <x:c r="G64" s="1051"/>
      <x:c r="H64" s="1051"/>
      <x:c r="I64" s="1051"/>
      <x:c r="J64" s="1051"/>
      <x:c r="K64" s="1051"/>
      <x:c r="L64" s="1051"/>
      <x:c r="M64" s="1051"/>
      <x:c r="N64" s="1051"/>
      <x:c r="O64" s="1051"/>
      <x:c r="P64" s="1051"/>
      <x:c r="Q64" s="1051"/>
      <x:c r="R64" s="1051"/>
      <x:c r="S64" s="1051"/>
      <x:c r="T64" s="1051"/>
      <x:c r="U64" s="1051"/>
      <x:c r="V64" s="1051"/>
      <x:c r="W64" s="1051"/>
      <x:c r="X64" s="1051"/>
      <x:c r="Y64" s="1051"/>
      <x:c r="Z64" s="1051"/>
      <x:c r="AA64" s="1051"/>
      <x:c r="AB64" s="1051"/>
      <x:c r="AC64" s="1051"/>
      <x:c r="AD64" s="1051"/>
      <x:c r="AE64" s="1051"/>
      <x:c r="AF64" s="1051"/>
      <x:c r="AG64" s="1051"/>
      <x:c r="AH64" s="1051"/>
      <x:c r="AI64" s="1051"/>
      <x:c r="AJ64" s="1051"/>
      <x:c r="AK64" s="1051"/>
      <x:c r="AL64" s="1051"/>
      <x:c r="AM64" s="1051"/>
      <x:c r="AN64" s="1051"/>
      <x:c r="AO64" s="1051"/>
      <x:c r="AP64" s="1051"/>
      <x:c r="AQ64" s="1051"/>
      <x:c r="AR64" s="1051"/>
      <x:c r="AS64" s="1051"/>
      <x:c r="AT64" s="1051"/>
      <x:c r="AU64" s="1051"/>
      <x:c r="AV64" s="1051"/>
      <x:c r="AW64" s="1051"/>
      <x:c r="AX64" s="1051"/>
      <x:c r="AY64" s="1052"/>
      <x:c r="AZ64" s="2"/>
    </x:row>
    <x:row r="65" ht="13.5" customHeight="1">
      <x:c r="A65" s="2"/>
      <x:c r="B65" s="1050"/>
      <x:c r="C65" s="1051"/>
      <x:c r="D65" s="1051"/>
      <x:c r="E65" s="1051"/>
      <x:c r="F65" s="1051"/>
      <x:c r="G65" s="1051"/>
      <x:c r="H65" s="1051"/>
      <x:c r="I65" s="1051"/>
      <x:c r="J65" s="1051"/>
      <x:c r="K65" s="1051"/>
      <x:c r="L65" s="1051"/>
      <x:c r="M65" s="1051"/>
      <x:c r="N65" s="1051"/>
      <x:c r="O65" s="1051"/>
      <x:c r="P65" s="1051"/>
      <x:c r="Q65" s="1051"/>
      <x:c r="R65" s="1051"/>
      <x:c r="S65" s="1051"/>
      <x:c r="T65" s="1051"/>
      <x:c r="U65" s="1051"/>
      <x:c r="V65" s="1051"/>
      <x:c r="W65" s="1051"/>
      <x:c r="X65" s="1051"/>
      <x:c r="Y65" s="1051"/>
      <x:c r="Z65" s="1051"/>
      <x:c r="AA65" s="1051"/>
      <x:c r="AB65" s="1051"/>
      <x:c r="AC65" s="1051"/>
      <x:c r="AD65" s="1051"/>
      <x:c r="AE65" s="1051"/>
      <x:c r="AF65" s="1051"/>
      <x:c r="AG65" s="1051"/>
      <x:c r="AH65" s="1051"/>
      <x:c r="AI65" s="1051"/>
      <x:c r="AJ65" s="1051"/>
      <x:c r="AK65" s="1051"/>
      <x:c r="AL65" s="1051"/>
      <x:c r="AM65" s="1051"/>
      <x:c r="AN65" s="1051"/>
      <x:c r="AO65" s="1051"/>
      <x:c r="AP65" s="1051"/>
      <x:c r="AQ65" s="1051"/>
      <x:c r="AR65" s="1051"/>
      <x:c r="AS65" s="1051"/>
      <x:c r="AT65" s="1051"/>
      <x:c r="AU65" s="1051"/>
      <x:c r="AV65" s="1051"/>
      <x:c r="AW65" s="1051"/>
      <x:c r="AX65" s="1051"/>
      <x:c r="AY65" s="1052"/>
      <x:c r="AZ65" s="2"/>
    </x:row>
    <x:row r="66" ht="13.5" customHeight="1">
      <x:c r="A66" s="2"/>
      <x:c r="B66" s="1050"/>
      <x:c r="C66" s="1051"/>
      <x:c r="D66" s="1051"/>
      <x:c r="E66" s="1051"/>
      <x:c r="F66" s="1051"/>
      <x:c r="G66" s="1051"/>
      <x:c r="H66" s="1051"/>
      <x:c r="I66" s="1051"/>
      <x:c r="J66" s="1051"/>
      <x:c r="K66" s="1051"/>
      <x:c r="L66" s="1051"/>
      <x:c r="M66" s="1051"/>
      <x:c r="N66" s="1051"/>
      <x:c r="O66" s="1051"/>
      <x:c r="P66" s="1051"/>
      <x:c r="Q66" s="1051"/>
      <x:c r="R66" s="1051"/>
      <x:c r="S66" s="1051"/>
      <x:c r="T66" s="1051"/>
      <x:c r="U66" s="1051"/>
      <x:c r="V66" s="1051"/>
      <x:c r="W66" s="1051"/>
      <x:c r="X66" s="1051"/>
      <x:c r="Y66" s="1051"/>
      <x:c r="Z66" s="1051"/>
      <x:c r="AA66" s="1051"/>
      <x:c r="AB66" s="1051"/>
      <x:c r="AC66" s="1051"/>
      <x:c r="AD66" s="1051"/>
      <x:c r="AE66" s="1051"/>
      <x:c r="AF66" s="1051"/>
      <x:c r="AG66" s="1051"/>
      <x:c r="AH66" s="1051"/>
      <x:c r="AI66" s="1051"/>
      <x:c r="AJ66" s="1051"/>
      <x:c r="AK66" s="1051"/>
      <x:c r="AL66" s="1051"/>
      <x:c r="AM66" s="1051"/>
      <x:c r="AN66" s="1051"/>
      <x:c r="AO66" s="1051"/>
      <x:c r="AP66" s="1051"/>
      <x:c r="AQ66" s="1051"/>
      <x:c r="AR66" s="1051"/>
      <x:c r="AS66" s="1051"/>
      <x:c r="AT66" s="1051"/>
      <x:c r="AU66" s="1051"/>
      <x:c r="AV66" s="1051"/>
      <x:c r="AW66" s="1051"/>
      <x:c r="AX66" s="1051"/>
      <x:c r="AY66" s="1052"/>
      <x:c r="AZ66" s="2"/>
    </x:row>
    <x:row r="67" ht="13.5" customHeight="1">
      <x:c r="A67" s="2"/>
      <x:c r="B67" s="1050"/>
      <x:c r="C67" s="1051"/>
      <x:c r="D67" s="1051"/>
      <x:c r="E67" s="1051"/>
      <x:c r="F67" s="1051"/>
      <x:c r="G67" s="1051"/>
      <x:c r="H67" s="1051"/>
      <x:c r="I67" s="1051"/>
      <x:c r="J67" s="1051"/>
      <x:c r="K67" s="1051"/>
      <x:c r="L67" s="1051"/>
      <x:c r="M67" s="1051"/>
      <x:c r="N67" s="1051"/>
      <x:c r="O67" s="1051"/>
      <x:c r="P67" s="1051"/>
      <x:c r="Q67" s="1051"/>
      <x:c r="R67" s="1051"/>
      <x:c r="S67" s="1051"/>
      <x:c r="T67" s="1051"/>
      <x:c r="U67" s="1051"/>
      <x:c r="V67" s="1051"/>
      <x:c r="W67" s="1051"/>
      <x:c r="X67" s="1051"/>
      <x:c r="Y67" s="1051"/>
      <x:c r="Z67" s="1051"/>
      <x:c r="AA67" s="1051"/>
      <x:c r="AB67" s="1051"/>
      <x:c r="AC67" s="1051"/>
      <x:c r="AD67" s="1051"/>
      <x:c r="AE67" s="1051"/>
      <x:c r="AF67" s="1051"/>
      <x:c r="AG67" s="1051"/>
      <x:c r="AH67" s="1051"/>
      <x:c r="AI67" s="1051"/>
      <x:c r="AJ67" s="1051"/>
      <x:c r="AK67" s="1051"/>
      <x:c r="AL67" s="1051"/>
      <x:c r="AM67" s="1051"/>
      <x:c r="AN67" s="1051"/>
      <x:c r="AO67" s="1051"/>
      <x:c r="AP67" s="1051"/>
      <x:c r="AQ67" s="1051"/>
      <x:c r="AR67" s="1051"/>
      <x:c r="AS67" s="1051"/>
      <x:c r="AT67" s="1051"/>
      <x:c r="AU67" s="1051"/>
      <x:c r="AV67" s="1051"/>
      <x:c r="AW67" s="1051"/>
      <x:c r="AX67" s="1051"/>
      <x:c r="AY67" s="1052"/>
      <x:c r="AZ67" s="2"/>
    </x:row>
    <x:row r="68" ht="13.5" customHeight="1">
      <x:c r="A68" s="2"/>
      <x:c r="B68" s="1050"/>
      <x:c r="C68" s="1051"/>
      <x:c r="D68" s="1051"/>
      <x:c r="E68" s="1051"/>
      <x:c r="F68" s="1051"/>
      <x:c r="G68" s="1051"/>
      <x:c r="H68" s="1051"/>
      <x:c r="I68" s="1051"/>
      <x:c r="J68" s="1051"/>
      <x:c r="K68" s="1051"/>
      <x:c r="L68" s="1051"/>
      <x:c r="M68" s="1051"/>
      <x:c r="N68" s="1051"/>
      <x:c r="O68" s="1051"/>
      <x:c r="P68" s="1051"/>
      <x:c r="Q68" s="1051"/>
      <x:c r="R68" s="1051"/>
      <x:c r="S68" s="1051"/>
      <x:c r="T68" s="1051"/>
      <x:c r="U68" s="1051"/>
      <x:c r="V68" s="1051"/>
      <x:c r="W68" s="1051"/>
      <x:c r="X68" s="1051"/>
      <x:c r="Y68" s="1051"/>
      <x:c r="Z68" s="1051"/>
      <x:c r="AA68" s="1051"/>
      <x:c r="AB68" s="1051"/>
      <x:c r="AC68" s="1051"/>
      <x:c r="AD68" s="1051"/>
      <x:c r="AE68" s="1051"/>
      <x:c r="AF68" s="1051"/>
      <x:c r="AG68" s="1051"/>
      <x:c r="AH68" s="1051"/>
      <x:c r="AI68" s="1051"/>
      <x:c r="AJ68" s="1051"/>
      <x:c r="AK68" s="1051"/>
      <x:c r="AL68" s="1051"/>
      <x:c r="AM68" s="1051"/>
      <x:c r="AN68" s="1051"/>
      <x:c r="AO68" s="1051"/>
      <x:c r="AP68" s="1051"/>
      <x:c r="AQ68" s="1051"/>
      <x:c r="AR68" s="1051"/>
      <x:c r="AS68" s="1051"/>
      <x:c r="AT68" s="1051"/>
      <x:c r="AU68" s="1051"/>
      <x:c r="AV68" s="1051"/>
      <x:c r="AW68" s="1051"/>
      <x:c r="AX68" s="1051"/>
      <x:c r="AY68" s="1052"/>
      <x:c r="AZ68" s="2"/>
    </x:row>
    <x:row r="69" ht="13.5" customHeight="1">
      <x:c r="A69" s="2"/>
      <x:c r="B69" s="1050"/>
      <x:c r="C69" s="1051"/>
      <x:c r="D69" s="1051"/>
      <x:c r="E69" s="1051"/>
      <x:c r="F69" s="1051"/>
      <x:c r="G69" s="1051"/>
      <x:c r="H69" s="1051"/>
      <x:c r="I69" s="1051"/>
      <x:c r="J69" s="1051"/>
      <x:c r="K69" s="1051"/>
      <x:c r="L69" s="1051"/>
      <x:c r="M69" s="1051"/>
      <x:c r="N69" s="1051"/>
      <x:c r="O69" s="1051"/>
      <x:c r="P69" s="1051"/>
      <x:c r="Q69" s="1051"/>
      <x:c r="R69" s="1051"/>
      <x:c r="S69" s="1051"/>
      <x:c r="T69" s="1051"/>
      <x:c r="U69" s="1051"/>
      <x:c r="V69" s="1051"/>
      <x:c r="W69" s="1051"/>
      <x:c r="X69" s="1051"/>
      <x:c r="Y69" s="1051"/>
      <x:c r="Z69" s="1051"/>
      <x:c r="AA69" s="1051"/>
      <x:c r="AB69" s="1051"/>
      <x:c r="AC69" s="1051"/>
      <x:c r="AD69" s="1051"/>
      <x:c r="AE69" s="1051"/>
      <x:c r="AF69" s="1051"/>
      <x:c r="AG69" s="1051"/>
      <x:c r="AH69" s="1051"/>
      <x:c r="AI69" s="1051"/>
      <x:c r="AJ69" s="1051"/>
      <x:c r="AK69" s="1051"/>
      <x:c r="AL69" s="1051"/>
      <x:c r="AM69" s="1051"/>
      <x:c r="AN69" s="1051"/>
      <x:c r="AO69" s="1051"/>
      <x:c r="AP69" s="1051"/>
      <x:c r="AQ69" s="1051"/>
      <x:c r="AR69" s="1051"/>
      <x:c r="AS69" s="1051"/>
      <x:c r="AT69" s="1051"/>
      <x:c r="AU69" s="1051"/>
      <x:c r="AV69" s="1051"/>
      <x:c r="AW69" s="1051"/>
      <x:c r="AX69" s="1051"/>
      <x:c r="AY69" s="1052"/>
      <x:c r="AZ69" s="2"/>
    </x:row>
    <x:row r="70" ht="13.5" customHeight="1">
      <x:c r="A70" s="2"/>
      <x:c r="B70" s="1050"/>
      <x:c r="C70" s="1051"/>
      <x:c r="D70" s="1051"/>
      <x:c r="E70" s="1051"/>
      <x:c r="F70" s="1051"/>
      <x:c r="G70" s="1051"/>
      <x:c r="H70" s="1051"/>
      <x:c r="I70" s="1051"/>
      <x:c r="J70" s="1051"/>
      <x:c r="K70" s="1051"/>
      <x:c r="L70" s="1051"/>
      <x:c r="M70" s="1051"/>
      <x:c r="N70" s="1051"/>
      <x:c r="O70" s="1051"/>
      <x:c r="P70" s="1051"/>
      <x:c r="Q70" s="1051"/>
      <x:c r="R70" s="1051"/>
      <x:c r="S70" s="1051"/>
      <x:c r="T70" s="1051"/>
      <x:c r="U70" s="1051"/>
      <x:c r="V70" s="1051"/>
      <x:c r="W70" s="1051"/>
      <x:c r="X70" s="1051"/>
      <x:c r="Y70" s="1051"/>
      <x:c r="Z70" s="1051"/>
      <x:c r="AA70" s="1051"/>
      <x:c r="AB70" s="1051"/>
      <x:c r="AC70" s="1051"/>
      <x:c r="AD70" s="1051"/>
      <x:c r="AE70" s="1051"/>
      <x:c r="AF70" s="1051"/>
      <x:c r="AG70" s="1051"/>
      <x:c r="AH70" s="1051"/>
      <x:c r="AI70" s="1051"/>
      <x:c r="AJ70" s="1051"/>
      <x:c r="AK70" s="1051"/>
      <x:c r="AL70" s="1051"/>
      <x:c r="AM70" s="1051"/>
      <x:c r="AN70" s="1051"/>
      <x:c r="AO70" s="1051"/>
      <x:c r="AP70" s="1051"/>
      <x:c r="AQ70" s="1051"/>
      <x:c r="AR70" s="1051"/>
      <x:c r="AS70" s="1051"/>
      <x:c r="AT70" s="1051"/>
      <x:c r="AU70" s="1051"/>
      <x:c r="AV70" s="1051"/>
      <x:c r="AW70" s="1051"/>
      <x:c r="AX70" s="1051"/>
      <x:c r="AY70" s="1052"/>
      <x:c r="AZ70" s="2"/>
    </x:row>
    <x:row r="71" ht="13.5" customHeight="1">
      <x:c r="A71" s="2"/>
      <x:c r="B71" s="1053"/>
      <x:c r="C71" s="1054"/>
      <x:c r="D71" s="1054"/>
      <x:c r="E71" s="1054"/>
      <x:c r="F71" s="1054"/>
      <x:c r="G71" s="1054"/>
      <x:c r="H71" s="1054"/>
      <x:c r="I71" s="1054"/>
      <x:c r="J71" s="1054"/>
      <x:c r="K71" s="1054"/>
      <x:c r="L71" s="1054"/>
      <x:c r="M71" s="1054"/>
      <x:c r="N71" s="1054"/>
      <x:c r="O71" s="1054"/>
      <x:c r="P71" s="1054"/>
      <x:c r="Q71" s="1054"/>
      <x:c r="R71" s="1054"/>
      <x:c r="S71" s="1054"/>
      <x:c r="T71" s="1054"/>
      <x:c r="U71" s="1054"/>
      <x:c r="V71" s="1054"/>
      <x:c r="W71" s="1054"/>
      <x:c r="X71" s="1054"/>
      <x:c r="Y71" s="1054"/>
      <x:c r="Z71" s="1054"/>
      <x:c r="AA71" s="1054"/>
      <x:c r="AB71" s="1054"/>
      <x:c r="AC71" s="1054"/>
      <x:c r="AD71" s="1054"/>
      <x:c r="AE71" s="1054"/>
      <x:c r="AF71" s="1054"/>
      <x:c r="AG71" s="1054"/>
      <x:c r="AH71" s="1054"/>
      <x:c r="AI71" s="1054"/>
      <x:c r="AJ71" s="1054"/>
      <x:c r="AK71" s="1054"/>
      <x:c r="AL71" s="1054"/>
      <x:c r="AM71" s="1054"/>
      <x:c r="AN71" s="1054"/>
      <x:c r="AO71" s="1054"/>
      <x:c r="AP71" s="1054"/>
      <x:c r="AQ71" s="1054"/>
      <x:c r="AR71" s="1054"/>
      <x:c r="AS71" s="1054"/>
      <x:c r="AT71" s="1054"/>
      <x:c r="AU71" s="1054"/>
      <x:c r="AV71" s="1054"/>
      <x:c r="AW71" s="1054"/>
      <x:c r="AX71" s="1054"/>
      <x:c r="AY71" s="1055"/>
      <x:c r="AZ71" s="2"/>
    </x:row>
    <x:row r="72" ht="13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 ht="13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 ht="13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 ht="13.5" customHeight="1">
      <x:c r="A75" s="77" t="str">
        <x:v>6.7 イベント契約・配送保証</x:v>
      </x:c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78"/>
      <x:c r="U75" s="78"/>
      <x:c r="V75" s="78"/>
      <x:c r="W75" s="78"/>
      <x:c r="X75" s="78"/>
      <x:c r="Y75" s="78"/>
      <x:c r="Z75" s="78"/>
      <x:c r="AA75" s="78"/>
      <x:c r="AB75" s="78"/>
      <x:c r="AC75" s="78"/>
      <x:c r="AD75" s="78"/>
      <x:c r="AE75" s="78"/>
      <x:c r="AF75" s="78"/>
      <x:c r="AG75" s="78"/>
      <x:c r="AH75" s="78"/>
      <x:c r="AI75" s="78"/>
      <x:c r="AJ75" s="78"/>
      <x:c r="AK75" s="78"/>
      <x:c r="AL75" s="78"/>
      <x:c r="AM75" s="78"/>
      <x:c r="AN75" s="78"/>
      <x:c r="AO75" s="78"/>
      <x:c r="AP75" s="78"/>
      <x:c r="AQ75" s="78"/>
      <x:c r="AR75" s="78"/>
      <x:c r="AS75" s="78"/>
      <x:c r="AT75" s="78"/>
      <x:c r="AU75" s="78"/>
      <x:c r="AV75" s="78"/>
      <x:c r="AW75" s="78"/>
      <x:c r="AX75" s="78"/>
      <x:c r="AY75" s="78"/>
      <x:c r="AZ75" s="79"/>
    </x:row>
    <x:row r="76" ht="13.5" customHeight="1">
      <x:c r="A76" s="80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  <x:c r="AA76" s="81"/>
      <x:c r="AB76" s="81"/>
      <x:c r="AC76" s="81"/>
      <x:c r="AD76" s="81"/>
      <x:c r="AE76" s="81"/>
      <x:c r="AF76" s="81"/>
      <x:c r="AG76" s="81"/>
      <x:c r="AH76" s="81"/>
      <x:c r="AI76" s="81"/>
      <x:c r="AJ76" s="81"/>
      <x:c r="AK76" s="81"/>
      <x:c r="AL76" s="81"/>
      <x:c r="AM76" s="81"/>
      <x:c r="AN76" s="81"/>
      <x:c r="AO76" s="81"/>
      <x:c r="AP76" s="81"/>
      <x:c r="AQ76" s="81"/>
      <x:c r="AR76" s="81"/>
      <x:c r="AS76" s="81"/>
      <x:c r="AT76" s="81"/>
      <x:c r="AU76" s="81"/>
      <x:c r="AV76" s="81"/>
      <x:c r="AW76" s="81"/>
      <x:c r="AX76" s="81"/>
      <x:c r="AY76" s="81"/>
      <x:c r="AZ76" s="82"/>
    </x:row>
    <x:row r="77" ht="13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 ht="13.5" customHeight="1">
      <x:c r="A78" s="127" t="str">
        <x:v>Event ID</x:v>
      </x:c>
      <x:c r="B78" s="127"/>
      <x:c r="C78" s="127"/>
      <x:c r="D78" s="127"/>
      <x:c r="E78" s="127"/>
      <x:c r="F78" s="127"/>
      <x:c r="G78" s="127" t="str">
        <x:v>Topic</x:v>
      </x:c>
      <x:c r="H78" s="127"/>
      <x:c r="I78" s="127"/>
      <x:c r="J78" s="127"/>
      <x:c r="K78" s="127"/>
      <x:c r="L78" s="127"/>
      <x:c r="M78" s="127"/>
      <x:c r="N78" s="127"/>
      <x:c r="O78" s="127"/>
      <x:c r="P78" s="127" t="str">
        <x:v>Producer</x:v>
      </x:c>
      <x:c r="Q78" s="127"/>
      <x:c r="R78" s="127"/>
      <x:c r="S78" s="127"/>
      <x:c r="T78" s="127"/>
      <x:c r="U78" s="127"/>
      <x:c r="V78" s="127"/>
      <x:c r="W78" s="127"/>
      <x:c r="X78" s="127" t="str">
        <x:v>Consumer</x:v>
      </x:c>
      <x:c r="Y78" s="127"/>
      <x:c r="Z78" s="127"/>
      <x:c r="AA78" s="127"/>
      <x:c r="AB78" s="127"/>
      <x:c r="AC78" s="127"/>
      <x:c r="AD78" s="127"/>
      <x:c r="AE78" s="127"/>
      <x:c r="AF78" s="127" t="str">
        <x:v>Partition key</x:v>
      </x:c>
      <x:c r="AG78" s="127"/>
      <x:c r="AH78" s="127"/>
      <x:c r="AI78" s="127"/>
      <x:c r="AJ78" s="127"/>
      <x:c r="AK78" s="127"/>
      <x:c r="AL78" s="127"/>
      <x:c r="AM78" s="127" t="str">
        <x:v>Delivery</x:v>
      </x:c>
      <x:c r="AN78" s="127"/>
      <x:c r="AO78" s="127"/>
      <x:c r="AP78" s="127"/>
      <x:c r="AQ78" s="127"/>
      <x:c r="AR78" s="127"/>
      <x:c r="AS78" s="127"/>
      <x:c r="AT78" s="127" t="str">
        <x:v>Schema</x:v>
      </x:c>
      <x:c r="AU78" s="127"/>
      <x:c r="AV78" s="127"/>
      <x:c r="AW78" s="127"/>
      <x:c r="AX78" s="127"/>
      <x:c r="AY78" s="127"/>
      <x:c r="AZ78" s="127"/>
    </x:row>
    <x:row r="79" ht="13.5" customHeight="1">
      <x:c r="A79" s="210" t="str">
        <x:v>EVT-01</x:v>
      </x:c>
      <x:c r="B79" s="210"/>
      <x:c r="C79" s="210"/>
      <x:c r="D79" s="210"/>
      <x:c r="E79" s="210"/>
      <x:c r="F79" s="210"/>
      <x:c r="G79" s="210" t="str">
        <x:v>expense.events.v1</x:v>
      </x:c>
      <x:c r="H79" s="210"/>
      <x:c r="I79" s="210"/>
      <x:c r="J79" s="210"/>
      <x:c r="K79" s="210"/>
      <x:c r="L79" s="210"/>
      <x:c r="M79" s="210"/>
      <x:c r="N79" s="210"/>
      <x:c r="O79" s="210"/>
      <x:c r="P79" s="210" t="str">
        <x:v>Outbox Worker</x:v>
      </x:c>
      <x:c r="Q79" s="210"/>
      <x:c r="R79" s="210"/>
      <x:c r="S79" s="210"/>
      <x:c r="T79" s="210"/>
      <x:c r="U79" s="210"/>
      <x:c r="V79" s="210"/>
      <x:c r="W79" s="210"/>
      <x:c r="X79" s="210" t="str">
        <x:v>承認Service</x:v>
      </x:c>
      <x:c r="Y79" s="210"/>
      <x:c r="Z79" s="210"/>
      <x:c r="AA79" s="210"/>
      <x:c r="AB79" s="210"/>
      <x:c r="AC79" s="210"/>
      <x:c r="AD79" s="210"/>
      <x:c r="AE79" s="210"/>
      <x:c r="AF79" s="210" t="str">
        <x:v>claim_id</x:v>
      </x:c>
      <x:c r="AG79" s="210"/>
      <x:c r="AH79" s="210"/>
      <x:c r="AI79" s="210"/>
      <x:c r="AJ79" s="210"/>
      <x:c r="AK79" s="210"/>
      <x:c r="AL79" s="210"/>
      <x:c r="AM79" s="210" t="str">
        <x:v>at-least-once</x:v>
      </x:c>
      <x:c r="AN79" s="210"/>
      <x:c r="AO79" s="210"/>
      <x:c r="AP79" s="210"/>
      <x:c r="AQ79" s="210"/>
      <x:c r="AR79" s="210"/>
      <x:c r="AS79" s="210"/>
      <x:c r="AT79" s="210" t="str">
        <x:v>approval.requested.v1</x:v>
      </x:c>
      <x:c r="AU79" s="210"/>
      <x:c r="AV79" s="210"/>
      <x:c r="AW79" s="210"/>
      <x:c r="AX79" s="210"/>
      <x:c r="AY79" s="210"/>
      <x:c r="AZ79" s="210"/>
    </x:row>
    <x:row r="80" ht="13.5" customHeight="1">
      <x:c r="A80" s="210"/>
      <x:c r="B80" s="210"/>
      <x:c r="C80" s="210"/>
      <x:c r="D80" s="210"/>
      <x:c r="E80" s="210"/>
      <x:c r="F80" s="210"/>
      <x:c r="G80" s="210"/>
      <x:c r="H80" s="210"/>
      <x:c r="I80" s="210"/>
      <x:c r="J80" s="210"/>
      <x:c r="K80" s="210"/>
      <x:c r="L80" s="210"/>
      <x:c r="M80" s="210"/>
      <x:c r="N80" s="210"/>
      <x:c r="O80" s="210"/>
      <x:c r="P80" s="210"/>
      <x:c r="Q80" s="210"/>
      <x:c r="R80" s="210"/>
      <x:c r="S80" s="210"/>
      <x:c r="T80" s="210"/>
      <x:c r="U80" s="210"/>
      <x:c r="V80" s="210"/>
      <x:c r="W80" s="210"/>
      <x:c r="X80" s="210"/>
      <x:c r="Y80" s="210"/>
      <x:c r="Z80" s="210"/>
      <x:c r="AA80" s="210"/>
      <x:c r="AB80" s="210"/>
      <x:c r="AC80" s="210"/>
      <x:c r="AD80" s="210"/>
      <x:c r="AE80" s="210"/>
      <x:c r="AF80" s="210"/>
      <x:c r="AG80" s="210"/>
      <x:c r="AH80" s="210"/>
      <x:c r="AI80" s="210"/>
      <x:c r="AJ80" s="210"/>
      <x:c r="AK80" s="210"/>
      <x:c r="AL80" s="210"/>
      <x:c r="AM80" s="210"/>
      <x:c r="AN80" s="210"/>
      <x:c r="AO80" s="210"/>
      <x:c r="AP80" s="210"/>
      <x:c r="AQ80" s="210"/>
      <x:c r="AR80" s="210"/>
      <x:c r="AS80" s="210"/>
      <x:c r="AT80" s="210"/>
      <x:c r="AU80" s="210"/>
      <x:c r="AV80" s="210"/>
      <x:c r="AW80" s="210"/>
      <x:c r="AX80" s="210"/>
      <x:c r="AY80" s="210"/>
      <x:c r="AZ80" s="210"/>
    </x:row>
    <x:row r="81" ht="13.5" customHeight="1">
      <x:c r="A81" s="210" t="str">
        <x:v>EVT-02</x:v>
      </x:c>
      <x:c r="B81" s="210"/>
      <x:c r="C81" s="210"/>
      <x:c r="D81" s="210"/>
      <x:c r="E81" s="210"/>
      <x:c r="F81" s="210"/>
      <x:c r="G81" s="210" t="str">
        <x:v>expense.events.v1</x:v>
      </x:c>
      <x:c r="H81" s="210"/>
      <x:c r="I81" s="210"/>
      <x:c r="J81" s="210"/>
      <x:c r="K81" s="210"/>
      <x:c r="L81" s="210"/>
      <x:c r="M81" s="210"/>
      <x:c r="N81" s="210"/>
      <x:c r="O81" s="210"/>
      <x:c r="P81" s="210" t="str">
        <x:v>Expense API</x:v>
      </x:c>
      <x:c r="Q81" s="210"/>
      <x:c r="R81" s="210"/>
      <x:c r="S81" s="210"/>
      <x:c r="T81" s="210"/>
      <x:c r="U81" s="210"/>
      <x:c r="V81" s="210"/>
      <x:c r="W81" s="210"/>
      <x:c r="X81" s="210" t="str">
        <x:v>通知Service</x:v>
      </x:c>
      <x:c r="Y81" s="210"/>
      <x:c r="Z81" s="210"/>
      <x:c r="AA81" s="210"/>
      <x:c r="AB81" s="210"/>
      <x:c r="AC81" s="210"/>
      <x:c r="AD81" s="210"/>
      <x:c r="AE81" s="210"/>
      <x:c r="AF81" s="210" t="str">
        <x:v>applicant_id</x:v>
      </x:c>
      <x:c r="AG81" s="210"/>
      <x:c r="AH81" s="210"/>
      <x:c r="AI81" s="210"/>
      <x:c r="AJ81" s="210"/>
      <x:c r="AK81" s="210"/>
      <x:c r="AL81" s="210"/>
      <x:c r="AM81" s="210" t="str">
        <x:v>at-least-once</x:v>
      </x:c>
      <x:c r="AN81" s="210"/>
      <x:c r="AO81" s="210"/>
      <x:c r="AP81" s="210"/>
      <x:c r="AQ81" s="210"/>
      <x:c r="AR81" s="210"/>
      <x:c r="AS81" s="210"/>
      <x:c r="AT81" s="210" t="str">
        <x:v>claim.status.changed.v1</x:v>
      </x:c>
      <x:c r="AU81" s="210"/>
      <x:c r="AV81" s="210"/>
      <x:c r="AW81" s="210"/>
      <x:c r="AX81" s="210"/>
      <x:c r="AY81" s="210"/>
      <x:c r="AZ81" s="210"/>
    </x:row>
    <x:row r="82" ht="13.5" customHeight="1">
      <x:c r="A82" s="210"/>
      <x:c r="B82" s="210"/>
      <x:c r="C82" s="210"/>
      <x:c r="D82" s="210"/>
      <x:c r="E82" s="210"/>
      <x:c r="F82" s="210"/>
      <x:c r="G82" s="210"/>
      <x:c r="H82" s="210"/>
      <x:c r="I82" s="210"/>
      <x:c r="J82" s="210"/>
      <x:c r="K82" s="210"/>
      <x:c r="L82" s="210"/>
      <x:c r="M82" s="210"/>
      <x:c r="N82" s="210"/>
      <x:c r="O82" s="210"/>
      <x:c r="P82" s="210"/>
      <x:c r="Q82" s="210"/>
      <x:c r="R82" s="210"/>
      <x:c r="S82" s="210"/>
      <x:c r="T82" s="210"/>
      <x:c r="U82" s="210"/>
      <x:c r="V82" s="210"/>
      <x:c r="W82" s="210"/>
      <x:c r="X82" s="210"/>
      <x:c r="Y82" s="210"/>
      <x:c r="Z82" s="210"/>
      <x:c r="AA82" s="210"/>
      <x:c r="AB82" s="210"/>
      <x:c r="AC82" s="210"/>
      <x:c r="AD82" s="210"/>
      <x:c r="AE82" s="210"/>
      <x:c r="AF82" s="210"/>
      <x:c r="AG82" s="210"/>
      <x:c r="AH82" s="210"/>
      <x:c r="AI82" s="210"/>
      <x:c r="AJ82" s="210"/>
      <x:c r="AK82" s="210"/>
      <x:c r="AL82" s="210"/>
      <x:c r="AM82" s="210"/>
      <x:c r="AN82" s="210"/>
      <x:c r="AO82" s="210"/>
      <x:c r="AP82" s="210"/>
      <x:c r="AQ82" s="210"/>
      <x:c r="AR82" s="210"/>
      <x:c r="AS82" s="210"/>
      <x:c r="AT82" s="210"/>
      <x:c r="AU82" s="210"/>
      <x:c r="AV82" s="210"/>
      <x:c r="AW82" s="210"/>
      <x:c r="AX82" s="210"/>
      <x:c r="AY82" s="210"/>
      <x:c r="AZ82" s="210"/>
    </x:row>
    <x:row r="83" ht="13.5" customHeight="1">
      <x:c r="A83" s="210" t="str">
        <x:v>EVT-03</x:v>
      </x:c>
      <x:c r="B83" s="210"/>
      <x:c r="C83" s="210"/>
      <x:c r="D83" s="210"/>
      <x:c r="E83" s="210"/>
      <x:c r="F83" s="210"/>
      <x:c r="G83" s="210" t="str">
        <x:v>accounting.result.v1</x:v>
      </x:c>
      <x:c r="H83" s="210"/>
      <x:c r="I83" s="210"/>
      <x:c r="J83" s="210"/>
      <x:c r="K83" s="210"/>
      <x:c r="L83" s="210"/>
      <x:c r="M83" s="210"/>
      <x:c r="N83" s="210"/>
      <x:c r="O83" s="210"/>
      <x:c r="P83" s="210" t="str">
        <x:v>会計System</x:v>
      </x:c>
      <x:c r="Q83" s="210"/>
      <x:c r="R83" s="210"/>
      <x:c r="S83" s="210"/>
      <x:c r="T83" s="210"/>
      <x:c r="U83" s="210"/>
      <x:c r="V83" s="210"/>
      <x:c r="W83" s="210"/>
      <x:c r="X83" s="210" t="str">
        <x:v>Expense API</x:v>
      </x:c>
      <x:c r="Y83" s="210"/>
      <x:c r="Z83" s="210"/>
      <x:c r="AA83" s="210"/>
      <x:c r="AB83" s="210"/>
      <x:c r="AC83" s="210"/>
      <x:c r="AD83" s="210"/>
      <x:c r="AE83" s="210"/>
      <x:c r="AF83" s="210" t="str">
        <x:v>claim_id</x:v>
      </x:c>
      <x:c r="AG83" s="210"/>
      <x:c r="AH83" s="210"/>
      <x:c r="AI83" s="210"/>
      <x:c r="AJ83" s="210"/>
      <x:c r="AK83" s="210"/>
      <x:c r="AL83" s="210"/>
      <x:c r="AM83" s="210" t="str">
        <x:v>at-least-once</x:v>
      </x:c>
      <x:c r="AN83" s="210"/>
      <x:c r="AO83" s="210"/>
      <x:c r="AP83" s="210"/>
      <x:c r="AQ83" s="210"/>
      <x:c r="AR83" s="210"/>
      <x:c r="AS83" s="210"/>
      <x:c r="AT83" s="210" t="str">
        <x:v>payment.completed.v1</x:v>
      </x:c>
      <x:c r="AU83" s="210"/>
      <x:c r="AV83" s="210"/>
      <x:c r="AW83" s="210"/>
      <x:c r="AX83" s="210"/>
      <x:c r="AY83" s="210"/>
      <x:c r="AZ83" s="210"/>
    </x:row>
    <x:row r="84" ht="13.5" customHeight="1">
      <x:c r="A84" s="210"/>
      <x:c r="B84" s="210"/>
      <x:c r="C84" s="210"/>
      <x:c r="D84" s="210"/>
      <x:c r="E84" s="210"/>
      <x:c r="F84" s="210"/>
      <x:c r="G84" s="210"/>
      <x:c r="H84" s="210"/>
      <x:c r="I84" s="210"/>
      <x:c r="J84" s="210"/>
      <x:c r="K84" s="210"/>
      <x:c r="L84" s="210"/>
      <x:c r="M84" s="210"/>
      <x:c r="N84" s="210"/>
      <x:c r="O84" s="210"/>
      <x:c r="P84" s="210"/>
      <x:c r="Q84" s="210"/>
      <x:c r="R84" s="210"/>
      <x:c r="S84" s="210"/>
      <x:c r="T84" s="210"/>
      <x:c r="U84" s="210"/>
      <x:c r="V84" s="210"/>
      <x:c r="W84" s="210"/>
      <x:c r="X84" s="210"/>
      <x:c r="Y84" s="210"/>
      <x:c r="Z84" s="210"/>
      <x:c r="AA84" s="210"/>
      <x:c r="AB84" s="210"/>
      <x:c r="AC84" s="210"/>
      <x:c r="AD84" s="210"/>
      <x:c r="AE84" s="210"/>
      <x:c r="AF84" s="210"/>
      <x:c r="AG84" s="210"/>
      <x:c r="AH84" s="210"/>
      <x:c r="AI84" s="210"/>
      <x:c r="AJ84" s="210"/>
      <x:c r="AK84" s="210"/>
      <x:c r="AL84" s="210"/>
      <x:c r="AM84" s="210"/>
      <x:c r="AN84" s="210"/>
      <x:c r="AO84" s="210"/>
      <x:c r="AP84" s="210"/>
      <x:c r="AQ84" s="210"/>
      <x:c r="AR84" s="210"/>
      <x:c r="AS84" s="210"/>
      <x:c r="AT84" s="210"/>
      <x:c r="AU84" s="210"/>
      <x:c r="AV84" s="210"/>
      <x:c r="AW84" s="210"/>
      <x:c r="AX84" s="210"/>
      <x:c r="AY84" s="210"/>
      <x:c r="AZ84" s="210"/>
    </x:row>
    <x:row r="85" ht="13.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 ht="13.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 ht="13.5" customHeight="1">
      <x:c r="A87" s="2"/>
      <x:c r="B87" s="1084" t="str">
        <x:v>互換性方針：イベント名はバージョンを含め、既存フィールドを削除しない。未知フィールドは無視し、consumerはevent_idを7日間保持して重複を排除する。スキーマ変更はADRと契約テストを必須とする。</x:v>
      </x:c>
      <x:c r="C87" s="1085"/>
      <x:c r="D87" s="1085"/>
      <x:c r="E87" s="1085"/>
      <x:c r="F87" s="1085"/>
      <x:c r="G87" s="1085"/>
      <x:c r="H87" s="1085"/>
      <x:c r="I87" s="1085"/>
      <x:c r="J87" s="1085"/>
      <x:c r="K87" s="1085"/>
      <x:c r="L87" s="1085"/>
      <x:c r="M87" s="1085"/>
      <x:c r="N87" s="1085"/>
      <x:c r="O87" s="1085"/>
      <x:c r="P87" s="1085"/>
      <x:c r="Q87" s="1085"/>
      <x:c r="R87" s="1085"/>
      <x:c r="S87" s="1085"/>
      <x:c r="T87" s="1085"/>
      <x:c r="U87" s="1085"/>
      <x:c r="V87" s="1085"/>
      <x:c r="W87" s="1085"/>
      <x:c r="X87" s="1085"/>
      <x:c r="Y87" s="1085"/>
      <x:c r="Z87" s="1085"/>
      <x:c r="AA87" s="1085"/>
      <x:c r="AB87" s="1085"/>
      <x:c r="AC87" s="1085"/>
      <x:c r="AD87" s="1085"/>
      <x:c r="AE87" s="1085"/>
      <x:c r="AF87" s="1085"/>
      <x:c r="AG87" s="1085"/>
      <x:c r="AH87" s="1085"/>
      <x:c r="AI87" s="1085"/>
      <x:c r="AJ87" s="1085"/>
      <x:c r="AK87" s="1085"/>
      <x:c r="AL87" s="1085"/>
      <x:c r="AM87" s="1085"/>
      <x:c r="AN87" s="1085"/>
      <x:c r="AO87" s="1085"/>
      <x:c r="AP87" s="1085"/>
      <x:c r="AQ87" s="1085"/>
      <x:c r="AR87" s="1085"/>
      <x:c r="AS87" s="1085"/>
      <x:c r="AT87" s="1085"/>
      <x:c r="AU87" s="1085"/>
      <x:c r="AV87" s="1085"/>
      <x:c r="AW87" s="1085"/>
      <x:c r="AX87" s="1085"/>
      <x:c r="AY87" s="1086"/>
      <x:c r="AZ87" s="2"/>
    </x:row>
    <x:row r="88" ht="13.5" customHeight="1">
      <x:c r="A88" s="2"/>
      <x:c r="B88" s="1087"/>
      <x:c r="C88" s="1088"/>
      <x:c r="D88" s="1088"/>
      <x:c r="E88" s="1088"/>
      <x:c r="F88" s="1088"/>
      <x:c r="G88" s="1088"/>
      <x:c r="H88" s="1088"/>
      <x:c r="I88" s="1088"/>
      <x:c r="J88" s="1088"/>
      <x:c r="K88" s="1088"/>
      <x:c r="L88" s="1088"/>
      <x:c r="M88" s="1088"/>
      <x:c r="N88" s="1088"/>
      <x:c r="O88" s="1088"/>
      <x:c r="P88" s="1088"/>
      <x:c r="Q88" s="1088"/>
      <x:c r="R88" s="1088"/>
      <x:c r="S88" s="1088"/>
      <x:c r="T88" s="1088"/>
      <x:c r="U88" s="1088"/>
      <x:c r="V88" s="1088"/>
      <x:c r="W88" s="1088"/>
      <x:c r="X88" s="1088"/>
      <x:c r="Y88" s="1088"/>
      <x:c r="Z88" s="1088"/>
      <x:c r="AA88" s="1088"/>
      <x:c r="AB88" s="1088"/>
      <x:c r="AC88" s="1088"/>
      <x:c r="AD88" s="1088"/>
      <x:c r="AE88" s="1088"/>
      <x:c r="AF88" s="1088"/>
      <x:c r="AG88" s="1088"/>
      <x:c r="AH88" s="1088"/>
      <x:c r="AI88" s="1088"/>
      <x:c r="AJ88" s="1088"/>
      <x:c r="AK88" s="1088"/>
      <x:c r="AL88" s="1088"/>
      <x:c r="AM88" s="1088"/>
      <x:c r="AN88" s="1088"/>
      <x:c r="AO88" s="1088"/>
      <x:c r="AP88" s="1088"/>
      <x:c r="AQ88" s="1088"/>
      <x:c r="AR88" s="1088"/>
      <x:c r="AS88" s="1088"/>
      <x:c r="AT88" s="1088"/>
      <x:c r="AU88" s="1088"/>
      <x:c r="AV88" s="1088"/>
      <x:c r="AW88" s="1088"/>
      <x:c r="AX88" s="1088"/>
      <x:c r="AY88" s="1089"/>
      <x:c r="AZ88" s="2"/>
    </x:row>
    <x:row r="89" ht="13.5" customHeight="1">
      <x:c r="A89" s="2"/>
      <x:c r="B89" s="1087"/>
      <x:c r="C89" s="1088"/>
      <x:c r="D89" s="1088"/>
      <x:c r="E89" s="1088"/>
      <x:c r="F89" s="1088"/>
      <x:c r="G89" s="1088"/>
      <x:c r="H89" s="1088"/>
      <x:c r="I89" s="1088"/>
      <x:c r="J89" s="1088"/>
      <x:c r="K89" s="1088"/>
      <x:c r="L89" s="1088"/>
      <x:c r="M89" s="1088"/>
      <x:c r="N89" s="1088"/>
      <x:c r="O89" s="1088"/>
      <x:c r="P89" s="1088"/>
      <x:c r="Q89" s="1088"/>
      <x:c r="R89" s="1088"/>
      <x:c r="S89" s="1088"/>
      <x:c r="T89" s="1088"/>
      <x:c r="U89" s="1088"/>
      <x:c r="V89" s="1088"/>
      <x:c r="W89" s="1088"/>
      <x:c r="X89" s="1088"/>
      <x:c r="Y89" s="1088"/>
      <x:c r="Z89" s="1088"/>
      <x:c r="AA89" s="1088"/>
      <x:c r="AB89" s="1088"/>
      <x:c r="AC89" s="1088"/>
      <x:c r="AD89" s="1088"/>
      <x:c r="AE89" s="1088"/>
      <x:c r="AF89" s="1088"/>
      <x:c r="AG89" s="1088"/>
      <x:c r="AH89" s="1088"/>
      <x:c r="AI89" s="1088"/>
      <x:c r="AJ89" s="1088"/>
      <x:c r="AK89" s="1088"/>
      <x:c r="AL89" s="1088"/>
      <x:c r="AM89" s="1088"/>
      <x:c r="AN89" s="1088"/>
      <x:c r="AO89" s="1088"/>
      <x:c r="AP89" s="1088"/>
      <x:c r="AQ89" s="1088"/>
      <x:c r="AR89" s="1088"/>
      <x:c r="AS89" s="1088"/>
      <x:c r="AT89" s="1088"/>
      <x:c r="AU89" s="1088"/>
      <x:c r="AV89" s="1088"/>
      <x:c r="AW89" s="1088"/>
      <x:c r="AX89" s="1088"/>
      <x:c r="AY89" s="1089"/>
      <x:c r="AZ89" s="2"/>
    </x:row>
    <x:row r="90" ht="13.5" customHeight="1">
      <x:c r="A90" s="2"/>
      <x:c r="B90" s="1090"/>
      <x:c r="C90" s="1091"/>
      <x:c r="D90" s="1091"/>
      <x:c r="E90" s="1091"/>
      <x:c r="F90" s="1091"/>
      <x:c r="G90" s="1091"/>
      <x:c r="H90" s="1091"/>
      <x:c r="I90" s="1091"/>
      <x:c r="J90" s="1091"/>
      <x:c r="K90" s="1091"/>
      <x:c r="L90" s="1091"/>
      <x:c r="M90" s="1091"/>
      <x:c r="N90" s="1091"/>
      <x:c r="O90" s="1091"/>
      <x:c r="P90" s="1091"/>
      <x:c r="Q90" s="1091"/>
      <x:c r="R90" s="1091"/>
      <x:c r="S90" s="1091"/>
      <x:c r="T90" s="1091"/>
      <x:c r="U90" s="1091"/>
      <x:c r="V90" s="1091"/>
      <x:c r="W90" s="1091"/>
      <x:c r="X90" s="1091"/>
      <x:c r="Y90" s="1091"/>
      <x:c r="Z90" s="1091"/>
      <x:c r="AA90" s="1091"/>
      <x:c r="AB90" s="1091"/>
      <x:c r="AC90" s="1091"/>
      <x:c r="AD90" s="1091"/>
      <x:c r="AE90" s="1091"/>
      <x:c r="AF90" s="1091"/>
      <x:c r="AG90" s="1091"/>
      <x:c r="AH90" s="1091"/>
      <x:c r="AI90" s="1091"/>
      <x:c r="AJ90" s="1091"/>
      <x:c r="AK90" s="1091"/>
      <x:c r="AL90" s="1091"/>
      <x:c r="AM90" s="1091"/>
      <x:c r="AN90" s="1091"/>
      <x:c r="AO90" s="1091"/>
      <x:c r="AP90" s="1091"/>
      <x:c r="AQ90" s="1091"/>
      <x:c r="AR90" s="1091"/>
      <x:c r="AS90" s="1091"/>
      <x:c r="AT90" s="1091"/>
      <x:c r="AU90" s="1091"/>
      <x:c r="AV90" s="1091"/>
      <x:c r="AW90" s="1091"/>
      <x:c r="AX90" s="1091"/>
      <x:c r="AY90" s="1092"/>
      <x:c r="AZ90" s="2"/>
    </x:row>
    <x:row r="91" ht="13.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 ht="13.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 ht="13.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 ht="13.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 ht="13.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 ht="13.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</x:sheetData>
  <x:mergeCells>
    <x:mergeCell ref="A1:AZ2"/>
    <x:mergeCell ref="A3:AZ3"/>
    <x:mergeCell ref="A4:L4"/>
    <x:mergeCell ref="M4:R4"/>
    <x:mergeCell ref="S4:AE4"/>
    <x:mergeCell ref="AF4:AQ4"/>
    <x:mergeCell ref="AR4:AZ4"/>
    <x:mergeCell ref="A5:AB6"/>
    <x:mergeCell ref="A8:E8"/>
    <x:mergeCell ref="F8:I8"/>
    <x:mergeCell ref="J8:S8"/>
    <x:mergeCell ref="T8:X8"/>
    <x:mergeCell ref="Y8:AB8"/>
    <x:mergeCell ref="A9:E9"/>
    <x:mergeCell ref="F9:I9"/>
    <x:mergeCell ref="J9:S9"/>
    <x:mergeCell ref="T9:X9"/>
    <x:mergeCell ref="Y9:AB9"/>
    <x:mergeCell ref="A10:E10"/>
    <x:mergeCell ref="F10:I10"/>
    <x:mergeCell ref="J10:S10"/>
    <x:mergeCell ref="T10:X10"/>
    <x:mergeCell ref="Y10:AB10"/>
    <x:mergeCell ref="A11:E11"/>
    <x:mergeCell ref="F11:I11"/>
    <x:mergeCell ref="J11:S11"/>
    <x:mergeCell ref="T11:X11"/>
    <x:mergeCell ref="Y11:AB11"/>
    <x:mergeCell ref="A12:E12"/>
    <x:mergeCell ref="F12:I12"/>
    <x:mergeCell ref="J12:S12"/>
    <x:mergeCell ref="T12:X12"/>
    <x:mergeCell ref="Y12:AB12"/>
    <x:mergeCell ref="A13:E13"/>
    <x:mergeCell ref="F13:I13"/>
    <x:mergeCell ref="J13:S13"/>
    <x:mergeCell ref="T13:X13"/>
    <x:mergeCell ref="Y13:AB13"/>
    <x:mergeCell ref="A14:E14"/>
    <x:mergeCell ref="F14:I14"/>
    <x:mergeCell ref="J14:S14"/>
    <x:mergeCell ref="T14:X14"/>
    <x:mergeCell ref="Y14:AB14"/>
    <x:mergeCell ref="A15:E15"/>
    <x:mergeCell ref="F15:I15"/>
    <x:mergeCell ref="J15:S15"/>
    <x:mergeCell ref="T15:X15"/>
    <x:mergeCell ref="Y15:AB15"/>
    <x:mergeCell ref="AD5:AZ6"/>
    <x:mergeCell ref="AD8:AH8"/>
    <x:mergeCell ref="AI8:AO8"/>
    <x:mergeCell ref="AP8:AR8"/>
    <x:mergeCell ref="AS8:AU8"/>
    <x:mergeCell ref="AV8:AZ8"/>
    <x:mergeCell ref="AD9:AH9"/>
    <x:mergeCell ref="AI9:AO9"/>
    <x:mergeCell ref="AP9:AR9"/>
    <x:mergeCell ref="AS9:AU9"/>
    <x:mergeCell ref="AV9:AZ9"/>
    <x:mergeCell ref="AD10:AH10"/>
    <x:mergeCell ref="AI10:AO10"/>
    <x:mergeCell ref="AP10:AR10"/>
    <x:mergeCell ref="AS10:AU10"/>
    <x:mergeCell ref="AV10:AZ10"/>
    <x:mergeCell ref="AD11:AH11"/>
    <x:mergeCell ref="AI11:AO11"/>
    <x:mergeCell ref="AP11:AR11"/>
    <x:mergeCell ref="AS11:AU11"/>
    <x:mergeCell ref="AV11:AZ11"/>
    <x:mergeCell ref="AD12:AH12"/>
    <x:mergeCell ref="AI12:AO12"/>
    <x:mergeCell ref="AP12:AR12"/>
    <x:mergeCell ref="AS12:AU12"/>
    <x:mergeCell ref="AV12:AZ12"/>
    <x:mergeCell ref="AD13:AH13"/>
    <x:mergeCell ref="AI13:AO13"/>
    <x:mergeCell ref="AP13:AR13"/>
    <x:mergeCell ref="AS13:AU13"/>
    <x:mergeCell ref="AV13:AZ13"/>
    <x:mergeCell ref="AD14:AH14"/>
    <x:mergeCell ref="AI14:AO14"/>
    <x:mergeCell ref="AP14:AR14"/>
    <x:mergeCell ref="AS14:AU14"/>
    <x:mergeCell ref="AV14:AZ14"/>
    <x:mergeCell ref="AD15:AH15"/>
    <x:mergeCell ref="AI15:AO15"/>
    <x:mergeCell ref="AP15:AR15"/>
    <x:mergeCell ref="AS15:AU15"/>
    <x:mergeCell ref="AV15:AZ15"/>
    <x:mergeCell ref="AD16:AH16"/>
    <x:mergeCell ref="AI16:AO16"/>
    <x:mergeCell ref="AP16:AR16"/>
    <x:mergeCell ref="AS16:AU16"/>
    <x:mergeCell ref="AV16:AZ16"/>
    <x:mergeCell ref="AD17:AH17"/>
    <x:mergeCell ref="AI17:AO17"/>
    <x:mergeCell ref="AP17:AR17"/>
    <x:mergeCell ref="AS17:AU17"/>
    <x:mergeCell ref="AV17:AZ17"/>
    <x:mergeCell ref="AD18:AH18"/>
    <x:mergeCell ref="AI18:AO18"/>
    <x:mergeCell ref="AP18:AR18"/>
    <x:mergeCell ref="AS18:AU18"/>
    <x:mergeCell ref="AV18:AZ18"/>
    <x:mergeCell ref="A21:AZ22"/>
    <x:mergeCell ref="A24:J24"/>
    <x:mergeCell ref="K24:S24"/>
    <x:mergeCell ref="T24:AA24"/>
    <x:mergeCell ref="AB24:AG24"/>
    <x:mergeCell ref="AH24:AL24"/>
    <x:mergeCell ref="AM24:AZ24"/>
    <x:mergeCell ref="A25:J25"/>
    <x:mergeCell ref="K25:S25"/>
    <x:mergeCell ref="T25:AA25"/>
    <x:mergeCell ref="AB25:AG25"/>
    <x:mergeCell ref="AH25:AL25"/>
    <x:mergeCell ref="AM25:AZ25"/>
    <x:mergeCell ref="A26:J26"/>
    <x:mergeCell ref="K26:S26"/>
    <x:mergeCell ref="T26:AA26"/>
    <x:mergeCell ref="AB26:AG26"/>
    <x:mergeCell ref="AH26:AL26"/>
    <x:mergeCell ref="AM26:AZ26"/>
    <x:mergeCell ref="A27:J27"/>
    <x:mergeCell ref="K27:S27"/>
    <x:mergeCell ref="T27:AA27"/>
    <x:mergeCell ref="AB27:AG27"/>
    <x:mergeCell ref="AH27:AL27"/>
    <x:mergeCell ref="AM27:AZ27"/>
    <x:mergeCell ref="A28:J28"/>
    <x:mergeCell ref="K28:S28"/>
    <x:mergeCell ref="T28:AA28"/>
    <x:mergeCell ref="AB28:AG28"/>
    <x:mergeCell ref="AH28:AL28"/>
    <x:mergeCell ref="AM28:AZ28"/>
    <x:mergeCell ref="A29:J29"/>
    <x:mergeCell ref="K29:S29"/>
    <x:mergeCell ref="T29:AA29"/>
    <x:mergeCell ref="AB29:AG29"/>
    <x:mergeCell ref="AH29:AL29"/>
    <x:mergeCell ref="AM29:AZ29"/>
    <x:mergeCell ref="A30:J30"/>
    <x:mergeCell ref="K30:S30"/>
    <x:mergeCell ref="T30:AA30"/>
    <x:mergeCell ref="AB30:AG30"/>
    <x:mergeCell ref="AH30:AL30"/>
    <x:mergeCell ref="AM30:AZ30"/>
    <x:mergeCell ref="A31:J31"/>
    <x:mergeCell ref="K31:S31"/>
    <x:mergeCell ref="T31:AA31"/>
    <x:mergeCell ref="AB31:AG31"/>
    <x:mergeCell ref="AH31:AL31"/>
    <x:mergeCell ref="AM31:AZ31"/>
    <x:mergeCell ref="A32:J32"/>
    <x:mergeCell ref="K32:S32"/>
    <x:mergeCell ref="T32:AA32"/>
    <x:mergeCell ref="AB32:AG32"/>
    <x:mergeCell ref="AH32:AL32"/>
    <x:mergeCell ref="AM32:AZ32"/>
    <x:mergeCell ref="A33:J33"/>
    <x:mergeCell ref="K33:S33"/>
    <x:mergeCell ref="T33:AA33"/>
    <x:mergeCell ref="AB33:AG33"/>
    <x:mergeCell ref="AH33:AL33"/>
    <x:mergeCell ref="AM33:AZ33"/>
    <x:mergeCell ref="A34:J34"/>
    <x:mergeCell ref="K34:S34"/>
    <x:mergeCell ref="T34:AA34"/>
    <x:mergeCell ref="AB34:AG34"/>
    <x:mergeCell ref="AH34:AL34"/>
    <x:mergeCell ref="AM34:AZ34"/>
    <x:mergeCell ref="A35:J35"/>
    <x:mergeCell ref="K35:S35"/>
    <x:mergeCell ref="T35:AA35"/>
    <x:mergeCell ref="AB35:AG35"/>
    <x:mergeCell ref="AH35:AL35"/>
    <x:mergeCell ref="AM35:AZ35"/>
    <x:mergeCell ref="A36:J36"/>
    <x:mergeCell ref="K36:S36"/>
    <x:mergeCell ref="T36:AA36"/>
    <x:mergeCell ref="AB36:AG36"/>
    <x:mergeCell ref="AH36:AL36"/>
    <x:mergeCell ref="AM36:AZ36"/>
    <x:mergeCell ref="A37:J37"/>
    <x:mergeCell ref="K37:S37"/>
    <x:mergeCell ref="T37:AA37"/>
    <x:mergeCell ref="AB37:AG37"/>
    <x:mergeCell ref="AH37:AL37"/>
    <x:mergeCell ref="AM37:AZ37"/>
    <x:mergeCell ref="A38:J38"/>
    <x:mergeCell ref="K38:S38"/>
    <x:mergeCell ref="T38:AA38"/>
    <x:mergeCell ref="AB38:AG38"/>
    <x:mergeCell ref="AH38:AL38"/>
    <x:mergeCell ref="AM38:AZ38"/>
    <x:mergeCell ref="A42:Z43"/>
    <x:mergeCell ref="A45:H45"/>
    <x:mergeCell ref="I45:N45"/>
    <x:mergeCell ref="O45:R45"/>
    <x:mergeCell ref="S45:Z45"/>
    <x:mergeCell ref="A46:H46"/>
    <x:mergeCell ref="I46:N46"/>
    <x:mergeCell ref="O46:R46"/>
    <x:mergeCell ref="S46:Z46"/>
    <x:mergeCell ref="A47:H47"/>
    <x:mergeCell ref="I47:N47"/>
    <x:mergeCell ref="O47:R47"/>
    <x:mergeCell ref="S47:Z47"/>
    <x:mergeCell ref="A48:H48"/>
    <x:mergeCell ref="I48:N48"/>
    <x:mergeCell ref="O48:R48"/>
    <x:mergeCell ref="S48:Z48"/>
    <x:mergeCell ref="A49:H49"/>
    <x:mergeCell ref="I49:N49"/>
    <x:mergeCell ref="O49:R49"/>
    <x:mergeCell ref="S49:Z49"/>
    <x:mergeCell ref="A50:H50"/>
    <x:mergeCell ref="I50:N50"/>
    <x:mergeCell ref="O50:R50"/>
    <x:mergeCell ref="S50:Z50"/>
    <x:mergeCell ref="A51:H51"/>
    <x:mergeCell ref="I51:N51"/>
    <x:mergeCell ref="O51:R51"/>
    <x:mergeCell ref="S51:Z51"/>
    <x:mergeCell ref="A52:H52"/>
    <x:mergeCell ref="I52:N52"/>
    <x:mergeCell ref="O52:R52"/>
    <x:mergeCell ref="S52:Z52"/>
    <x:mergeCell ref="A53:H53"/>
    <x:mergeCell ref="I53:N53"/>
    <x:mergeCell ref="O53:R53"/>
    <x:mergeCell ref="S53:Z53"/>
    <x:mergeCell ref="A54:H54"/>
    <x:mergeCell ref="I54:N54"/>
    <x:mergeCell ref="O54:R54"/>
    <x:mergeCell ref="S54:Z54"/>
    <x:mergeCell ref="AB42:AZ43"/>
    <x:mergeCell ref="AB45:AG45"/>
    <x:mergeCell ref="AH45:AS45"/>
    <x:mergeCell ref="AT45:AZ45"/>
    <x:mergeCell ref="AB46:AG46"/>
    <x:mergeCell ref="AH46:AS46"/>
    <x:mergeCell ref="AT46:AZ46"/>
    <x:mergeCell ref="AB47:AG47"/>
    <x:mergeCell ref="AH47:AS47"/>
    <x:mergeCell ref="AT47:AZ47"/>
    <x:mergeCell ref="AB48:AG48"/>
    <x:mergeCell ref="AH48:AS48"/>
    <x:mergeCell ref="AT48:AZ48"/>
    <x:mergeCell ref="AB49:AG49"/>
    <x:mergeCell ref="AH49:AS49"/>
    <x:mergeCell ref="AT49:AZ49"/>
    <x:mergeCell ref="AB50:AG50"/>
    <x:mergeCell ref="AH50:AS50"/>
    <x:mergeCell ref="AT50:AZ50"/>
    <x:mergeCell ref="AB51:AG51"/>
    <x:mergeCell ref="AH51:AS51"/>
    <x:mergeCell ref="AT51:AZ51"/>
    <x:mergeCell ref="AB52:AG52"/>
    <x:mergeCell ref="AH52:AS52"/>
    <x:mergeCell ref="AT52:AZ52"/>
    <x:mergeCell ref="AB53:AG53"/>
    <x:mergeCell ref="AH53:AS53"/>
    <x:mergeCell ref="AT53:AZ53"/>
    <x:mergeCell ref="AB54:AG54"/>
    <x:mergeCell ref="AH54:AS54"/>
    <x:mergeCell ref="AT54:AZ54"/>
    <x:mergeCell ref="A58:AZ59"/>
    <x:mergeCell ref="B61:AY71"/>
    <x:mergeCell ref="A75:AZ76"/>
    <x:mergeCell ref="A78:F78"/>
    <x:mergeCell ref="G78:O78"/>
    <x:mergeCell ref="P78:W78"/>
    <x:mergeCell ref="X78:AE78"/>
    <x:mergeCell ref="AF78:AL78"/>
    <x:mergeCell ref="AM78:AS78"/>
    <x:mergeCell ref="AT78:AZ78"/>
    <x:mergeCell ref="A79:F80"/>
    <x:mergeCell ref="G79:O80"/>
    <x:mergeCell ref="P79:W80"/>
    <x:mergeCell ref="X79:AE80"/>
    <x:mergeCell ref="AF79:AL80"/>
    <x:mergeCell ref="AM79:AS80"/>
    <x:mergeCell ref="AT79:AZ80"/>
    <x:mergeCell ref="A81:F82"/>
    <x:mergeCell ref="G81:O82"/>
    <x:mergeCell ref="P81:W82"/>
    <x:mergeCell ref="X81:AE82"/>
    <x:mergeCell ref="AF81:AL82"/>
    <x:mergeCell ref="AM81:AS82"/>
    <x:mergeCell ref="AT81:AZ82"/>
    <x:mergeCell ref="A83:F84"/>
    <x:mergeCell ref="G83:O84"/>
    <x:mergeCell ref="P83:W84"/>
    <x:mergeCell ref="X83:AE84"/>
    <x:mergeCell ref="AF83:AL84"/>
    <x:mergeCell ref="AM83:AS84"/>
    <x:mergeCell ref="AT83:AZ84"/>
    <x:mergeCell ref="B87:AY9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</x:cols>
  <x:sheetData>
    <x:row r="1" ht="13.5" customHeight="1">
      <x:c r="A1" s="131" t="str">
        <x:v>07 テストシナリオ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  <x:c r="N1" s="131"/>
      <x:c r="O1" s="131"/>
      <x:c r="P1" s="131"/>
      <x:c r="Q1" s="131"/>
      <x:c r="R1" s="131"/>
      <x:c r="S1" s="131"/>
      <x:c r="T1" s="131"/>
      <x:c r="U1" s="131"/>
      <x:c r="V1" s="131"/>
      <x:c r="W1" s="131"/>
      <x:c r="X1" s="131"/>
      <x:c r="Y1" s="131"/>
      <x:c r="Z1" s="131"/>
      <x:c r="AA1" s="131"/>
      <x:c r="AB1" s="131"/>
      <x:c r="AC1" s="131"/>
      <x:c r="AD1" s="131"/>
      <x:c r="AE1" s="131"/>
      <x:c r="AF1" s="131"/>
      <x:c r="AG1" s="131"/>
      <x:c r="AH1" s="131"/>
      <x:c r="AI1" s="131"/>
      <x:c r="AJ1" s="131"/>
      <x:c r="AK1" s="131"/>
      <x:c r="AL1" s="131"/>
      <x:c r="AM1" s="131"/>
      <x:c r="AN1" s="131"/>
      <x:c r="AO1" s="131"/>
      <x:c r="AP1" s="131"/>
      <x:c r="AQ1" s="131"/>
      <x:c r="AR1" s="131"/>
      <x:c r="AS1" s="131"/>
      <x:c r="AT1" s="131"/>
      <x:c r="AU1" s="131"/>
      <x:c r="AV1" s="131"/>
      <x:c r="AW1" s="131"/>
      <x:c r="AX1" s="131"/>
      <x:c r="AY1" s="131"/>
      <x:c r="AZ1" s="131"/>
    </x:row>
    <x:row r="2" ht="13.5" customHeight="1">
      <x:c r="A2" s="131"/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  <x:c r="Q2" s="131"/>
      <x:c r="R2" s="131"/>
      <x:c r="S2" s="131"/>
      <x:c r="T2" s="131"/>
      <x:c r="U2" s="131"/>
      <x:c r="V2" s="131"/>
      <x:c r="W2" s="131"/>
      <x:c r="X2" s="131"/>
      <x:c r="Y2" s="131"/>
      <x:c r="Z2" s="131"/>
      <x:c r="AA2" s="131"/>
      <x:c r="AB2" s="131"/>
      <x:c r="AC2" s="131"/>
      <x:c r="AD2" s="131"/>
      <x:c r="AE2" s="131"/>
      <x:c r="AF2" s="131"/>
      <x:c r="AG2" s="131"/>
      <x:c r="AH2" s="131"/>
      <x:c r="AI2" s="131"/>
      <x:c r="AJ2" s="131"/>
      <x:c r="AK2" s="131"/>
      <x:c r="AL2" s="131"/>
      <x:c r="AM2" s="131"/>
      <x:c r="AN2" s="131"/>
      <x:c r="AO2" s="131"/>
      <x:c r="AP2" s="131"/>
      <x:c r="AQ2" s="131"/>
      <x:c r="AR2" s="131"/>
      <x:c r="AS2" s="131"/>
      <x:c r="AT2" s="131"/>
      <x:c r="AU2" s="131"/>
      <x:c r="AV2" s="131"/>
      <x:c r="AW2" s="131"/>
      <x:c r="AX2" s="131"/>
      <x:c r="AY2" s="131"/>
      <x:c r="AZ2" s="131"/>
    </x:row>
    <x:row r="3" ht="13.5" customHeight="1">
      <x:c r="A3" s="135" t="str">
        <x:v>図面の分岐・状態・I/Fを横断して検証する代表ケース。青字の実績状態を更新すると判定が変わる。</x:v>
      </x:c>
      <x:c r="B3" s="135"/>
      <x:c r="C3" s="135"/>
      <x:c r="D3" s="135"/>
      <x:c r="E3" s="135"/>
      <x:c r="F3" s="135"/>
      <x:c r="G3" s="135"/>
      <x:c r="H3" s="135"/>
      <x:c r="I3" s="135"/>
      <x:c r="J3" s="135"/>
      <x:c r="K3" s="135"/>
      <x:c r="L3" s="135"/>
      <x:c r="M3" s="135"/>
      <x:c r="N3" s="135"/>
      <x:c r="O3" s="135"/>
      <x:c r="P3" s="135"/>
      <x:c r="Q3" s="135"/>
      <x:c r="R3" s="135"/>
      <x:c r="S3" s="135"/>
      <x:c r="T3" s="135"/>
      <x:c r="U3" s="135"/>
      <x:c r="V3" s="135"/>
      <x:c r="W3" s="135"/>
      <x:c r="X3" s="135"/>
      <x:c r="Y3" s="135"/>
      <x:c r="Z3" s="135"/>
      <x:c r="AA3" s="135"/>
      <x:c r="AB3" s="135"/>
      <x:c r="AC3" s="135"/>
      <x:c r="AD3" s="135"/>
      <x:c r="AE3" s="135"/>
      <x:c r="AF3" s="135"/>
      <x:c r="AG3" s="135"/>
      <x:c r="AH3" s="135"/>
      <x:c r="AI3" s="135"/>
      <x:c r="AJ3" s="135"/>
      <x:c r="AK3" s="135"/>
      <x:c r="AL3" s="135"/>
      <x:c r="AM3" s="135"/>
      <x:c r="AN3" s="135"/>
      <x:c r="AO3" s="135"/>
      <x:c r="AP3" s="135"/>
      <x:c r="AQ3" s="135"/>
      <x:c r="AR3" s="135"/>
      <x:c r="AS3" s="135"/>
      <x:c r="AT3" s="135"/>
      <x:c r="AU3" s="135"/>
      <x:c r="AV3" s="135"/>
      <x:c r="AW3" s="135"/>
      <x:c r="AX3" s="135"/>
      <x:c r="AY3" s="135"/>
      <x:c r="AZ3" s="135"/>
    </x:row>
    <x:row r="4" ht="13.5" customHeight="1">
      <x:c r="A4" s="140" t="str">
        <x:v>文書ID: EXPS-DES-07</x:v>
      </x:c>
      <x:c r="B4" s="140"/>
      <x:c r="C4" s="140"/>
      <x:c r="D4" s="140"/>
      <x:c r="E4" s="140"/>
      <x:c r="F4" s="140"/>
      <x:c r="G4" s="140"/>
      <x:c r="H4" s="140"/>
      <x:c r="I4" s="140"/>
      <x:c r="J4" s="140"/>
      <x:c r="K4" s="140"/>
      <x:c r="L4" s="140"/>
      <x:c r="M4" s="140" t="str">
        <x:v>版: 1.2</x:v>
      </x:c>
      <x:c r="N4" s="140"/>
      <x:c r="O4" s="140"/>
      <x:c r="P4" s="140"/>
      <x:c r="Q4" s="140"/>
      <x:c r="R4" s="140"/>
      <x:c r="S4" s="140" t="str">
        <x:v>状態: レビュー中</x:v>
      </x:c>
      <x:c r="T4" s="140"/>
      <x:c r="U4" s="140"/>
      <x:c r="V4" s="140"/>
      <x:c r="W4" s="140"/>
      <x:c r="X4" s="140"/>
      <x:c r="Y4" s="140"/>
      <x:c r="Z4" s="140"/>
      <x:c r="AA4" s="140"/>
      <x:c r="AB4" s="140"/>
      <x:c r="AC4" s="140"/>
      <x:c r="AD4" s="140"/>
      <x:c r="AE4" s="140"/>
      <x:c r="AF4" s="140" t="str">
        <x:v>主管: 業務システム部</x:v>
      </x:c>
      <x:c r="AG4" s="140"/>
      <x:c r="AH4" s="140"/>
      <x:c r="AI4" s="140"/>
      <x:c r="AJ4" s="140"/>
      <x:c r="AK4" s="140"/>
      <x:c r="AL4" s="140"/>
      <x:c r="AM4" s="140"/>
      <x:c r="AN4" s="140"/>
      <x:c r="AO4" s="140"/>
      <x:c r="AP4" s="140"/>
      <x:c r="AQ4" s="140"/>
      <x:c r="AR4" s="140" t="str">
        <x:v>更新: 2026-08-23</x:v>
      </x:c>
      <x:c r="AS4" s="140"/>
      <x:c r="AT4" s="140"/>
      <x:c r="AU4" s="140"/>
      <x:c r="AV4" s="140"/>
      <x:c r="AW4" s="140"/>
      <x:c r="AX4" s="140"/>
      <x:c r="AY4" s="140"/>
      <x:c r="AZ4" s="140"/>
    </x:row>
    <x:row r="5" ht="13.5" customHeight="1">
      <x:c r="A5" s="2"/>
      <x:c r="B5" s="77" t="str">
        <x:v>7.1 代表シナリオ</x:v>
      </x:c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  <x:c r="AA5" s="78"/>
      <x:c r="AB5" s="78"/>
      <x:c r="AC5" s="78"/>
      <x:c r="AD5" s="78"/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9"/>
      <x:c r="AY5" s="2"/>
      <x:c r="AZ5" s="2"/>
    </x:row>
    <x:row r="6" ht="13.5" customHeight="1">
      <x:c r="A6" s="2"/>
      <x:c r="B6" s="80"/>
      <x:c r="C6" s="8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  <x:c r="AA6" s="81"/>
      <x:c r="AB6" s="81"/>
      <x:c r="AC6" s="81"/>
      <x:c r="AD6" s="81"/>
      <x:c r="AE6" s="81"/>
      <x:c r="AF6" s="81"/>
      <x:c r="AG6" s="81"/>
      <x:c r="AH6" s="81"/>
      <x:c r="AI6" s="81"/>
      <x:c r="AJ6" s="81"/>
      <x:c r="AK6" s="81"/>
      <x:c r="AL6" s="81"/>
      <x:c r="AM6" s="81"/>
      <x:c r="AN6" s="81"/>
      <x:c r="AO6" s="81"/>
      <x:c r="AP6" s="81"/>
      <x:c r="AQ6" s="81"/>
      <x:c r="AR6" s="81"/>
      <x:c r="AS6" s="81"/>
      <x:c r="AT6" s="81"/>
      <x:c r="AU6" s="81"/>
      <x:c r="AV6" s="81"/>
      <x:c r="AW6" s="81"/>
      <x:c r="AX6" s="82"/>
      <x:c r="AY6" s="2"/>
      <x:c r="AZ6" s="2"/>
    </x:row>
    <x:row r="7" ht="13.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13.5" customHeight="1">
      <x:c r="A8" s="127" t="str">
        <x:v>TC-ID</x:v>
      </x:c>
      <x:c r="B8" s="127"/>
      <x:c r="C8" s="127"/>
      <x:c r="D8" s="127"/>
      <x:c r="E8" s="127"/>
      <x:c r="F8" s="127" t="str">
        <x:v>観点／入力</x:v>
      </x:c>
      <x:c r="G8" s="127"/>
      <x:c r="H8" s="127"/>
      <x:c r="I8" s="127"/>
      <x:c r="J8" s="127"/>
      <x:c r="K8" s="127"/>
      <x:c r="L8" s="127"/>
      <x:c r="M8" s="127"/>
      <x:c r="N8" s="127"/>
      <x:c r="O8" s="127" t="str">
        <x:v>通過経路</x:v>
      </x:c>
      <x:c r="P8" s="127"/>
      <x:c r="Q8" s="127"/>
      <x:c r="R8" s="127"/>
      <x:c r="S8" s="127"/>
      <x:c r="T8" s="127"/>
      <x:c r="U8" s="127"/>
      <x:c r="V8" s="127"/>
      <x:c r="W8" s="127" t="str">
        <x:v>期待HTTP</x:v>
      </x:c>
      <x:c r="X8" s="127"/>
      <x:c r="Y8" s="127"/>
      <x:c r="Z8" s="127"/>
      <x:c r="AA8" s="127" t="str">
        <x:v>期待最終状態</x:v>
      </x:c>
      <x:c r="AB8" s="127"/>
      <x:c r="AC8" s="127"/>
      <x:c r="AD8" s="127"/>
      <x:c r="AE8" s="127"/>
      <x:c r="AF8" s="127"/>
      <x:c r="AG8" s="127" t="str">
        <x:v>実績状態</x:v>
      </x:c>
      <x:c r="AH8" s="127"/>
      <x:c r="AI8" s="127"/>
      <x:c r="AJ8" s="127"/>
      <x:c r="AK8" s="127"/>
      <x:c r="AL8" s="127"/>
      <x:c r="AM8" s="127" t="str">
        <x:v>判定</x:v>
      </x:c>
      <x:c r="AN8" s="127"/>
      <x:c r="AO8" s="127"/>
      <x:c r="AP8" s="127"/>
      <x:c r="AQ8" s="127" t="str">
        <x:v>関連設計</x:v>
      </x:c>
      <x:c r="AR8" s="127"/>
      <x:c r="AS8" s="127"/>
      <x:c r="AT8" s="127"/>
      <x:c r="AU8" s="127"/>
      <x:c r="AV8" s="127"/>
      <x:c r="AW8" s="127"/>
      <x:c r="AX8" s="127"/>
      <x:c r="AY8" s="127"/>
      <x:c r="AZ8" s="127"/>
    </x:row>
    <x:row r="9" ht="13.5" customHeight="1">
      <x:c r="A9" s="210" t="str">
        <x:v>TC-001</x:v>
      </x:c>
      <x:c r="B9" s="210"/>
      <x:c r="C9" s="210"/>
      <x:c r="D9" s="210"/>
      <x:c r="E9" s="210"/>
      <x:c r="F9" s="210" t="str">
        <x:v>12,800円、領収書あり</x:v>
      </x:c>
      <x:c r="G9" s="210"/>
      <x:c r="H9" s="210"/>
      <x:c r="I9" s="210"/>
      <x:c r="J9" s="210"/>
      <x:c r="K9" s="210"/>
      <x:c r="L9" s="210"/>
      <x:c r="M9" s="210"/>
      <x:c r="N9" s="210"/>
      <x:c r="O9" s="210" t="str">
        <x:v>課長承認→会計成功</x:v>
      </x:c>
      <x:c r="P9" s="210"/>
      <x:c r="Q9" s="210"/>
      <x:c r="R9" s="210"/>
      <x:c r="S9" s="210"/>
      <x:c r="T9" s="210"/>
      <x:c r="U9" s="210"/>
      <x:c r="V9" s="210"/>
      <x:c r="W9" s="210" t="n">
        <x:v>201</x:v>
      </x:c>
      <x:c r="X9" s="210"/>
      <x:c r="Y9" s="210"/>
      <x:c r="Z9" s="210"/>
      <x:c r="AA9" s="210" t="str">
        <x:v>PAID</x:v>
      </x:c>
      <x:c r="AB9" s="210"/>
      <x:c r="AC9" s="210"/>
      <x:c r="AD9" s="210"/>
      <x:c r="AE9" s="210"/>
      <x:c r="AF9" s="210"/>
      <x:c r="AG9" s="1093" t="str">
        <x:v>未実施</x:v>
      </x:c>
      <x:c r="AH9" s="210"/>
      <x:c r="AI9" s="210"/>
      <x:c r="AJ9" s="210"/>
      <x:c r="AK9" s="210"/>
      <x:c r="AL9" s="210"/>
      <x:c r="AM9" s="210" t="str">
        <x:f>IF(AG9="未実施","未実施",IF(AG9=AA9,"合格","不合格"))</x:f>
        <x:v>未実施</x:v>
      </x:c>
      <x:c r="AN9" s="210"/>
      <x:c r="AO9" s="210"/>
      <x:c r="AP9" s="210"/>
      <x:c r="AQ9" s="210" t="str">
        <x:v>TR-02/03/04/07/08, API-01</x:v>
      </x:c>
      <x:c r="AR9" s="210"/>
      <x:c r="AS9" s="210"/>
      <x:c r="AT9" s="210"/>
      <x:c r="AU9" s="210"/>
      <x:c r="AV9" s="210"/>
      <x:c r="AW9" s="210"/>
      <x:c r="AX9" s="210"/>
      <x:c r="AY9" s="210"/>
      <x:c r="AZ9" s="210"/>
    </x:row>
    <x:row r="10" ht="13.5" customHeight="1">
      <x:c r="A10" s="210" t="str">
        <x:v>TC-002</x:v>
      </x:c>
      <x:c r="B10" s="210"/>
      <x:c r="C10" s="210"/>
      <x:c r="D10" s="210"/>
      <x:c r="E10" s="210"/>
      <x:c r="F10" s="210" t="str">
        <x:v>150,000円、領収書あり</x:v>
      </x:c>
      <x:c r="G10" s="210"/>
      <x:c r="H10" s="210"/>
      <x:c r="I10" s="210"/>
      <x:c r="J10" s="210"/>
      <x:c r="K10" s="210"/>
      <x:c r="L10" s="210"/>
      <x:c r="M10" s="210"/>
      <x:c r="N10" s="210"/>
      <x:c r="O10" s="210" t="str">
        <x:v>部長承認→会計成功</x:v>
      </x:c>
      <x:c r="P10" s="210"/>
      <x:c r="Q10" s="210"/>
      <x:c r="R10" s="210"/>
      <x:c r="S10" s="210"/>
      <x:c r="T10" s="210"/>
      <x:c r="U10" s="210"/>
      <x:c r="V10" s="210"/>
      <x:c r="W10" s="210" t="n">
        <x:v>201</x:v>
      </x:c>
      <x:c r="X10" s="210"/>
      <x:c r="Y10" s="210"/>
      <x:c r="Z10" s="210"/>
      <x:c r="AA10" s="210" t="str">
        <x:v>PAID</x:v>
      </x:c>
      <x:c r="AB10" s="210"/>
      <x:c r="AC10" s="210"/>
      <x:c r="AD10" s="210"/>
      <x:c r="AE10" s="210"/>
      <x:c r="AF10" s="210"/>
      <x:c r="AG10" s="1093" t="str">
        <x:v>未実施</x:v>
      </x:c>
      <x:c r="AH10" s="210"/>
      <x:c r="AI10" s="210"/>
      <x:c r="AJ10" s="210"/>
      <x:c r="AK10" s="210"/>
      <x:c r="AL10" s="210"/>
      <x:c r="AM10" s="210" t="str">
        <x:f>IF(AG10="未実施","未実施",IF(AG10=AA10,"合格","不合格"))</x:f>
        <x:v>未実施</x:v>
      </x:c>
      <x:c r="AN10" s="210"/>
      <x:c r="AO10" s="210"/>
      <x:c r="AP10" s="210"/>
      <x:c r="AQ10" s="210" t="str">
        <x:v>シーケンス alt 高額経路</x:v>
      </x:c>
      <x:c r="AR10" s="210"/>
      <x:c r="AS10" s="210"/>
      <x:c r="AT10" s="210"/>
      <x:c r="AU10" s="210"/>
      <x:c r="AV10" s="210"/>
      <x:c r="AW10" s="210"/>
      <x:c r="AX10" s="210"/>
      <x:c r="AY10" s="210"/>
      <x:c r="AZ10" s="210"/>
    </x:row>
    <x:row r="11" ht="13.5" customHeight="1">
      <x:c r="A11" s="210" t="str">
        <x:v>TC-003</x:v>
      </x:c>
      <x:c r="B11" s="210"/>
      <x:c r="C11" s="210"/>
      <x:c r="D11" s="210"/>
      <x:c r="E11" s="210"/>
      <x:c r="F11" s="210" t="str">
        <x:v>20,000円、領収書なし</x:v>
      </x:c>
      <x:c r="G11" s="210"/>
      <x:c r="H11" s="210"/>
      <x:c r="I11" s="210"/>
      <x:c r="J11" s="210"/>
      <x:c r="K11" s="210"/>
      <x:c r="L11" s="210"/>
      <x:c r="M11" s="210"/>
      <x:c r="N11" s="210"/>
      <x:c r="O11" s="210" t="str">
        <x:v>入力検証NG</x:v>
      </x:c>
      <x:c r="P11" s="210"/>
      <x:c r="Q11" s="210"/>
      <x:c r="R11" s="210"/>
      <x:c r="S11" s="210"/>
      <x:c r="T11" s="210"/>
      <x:c r="U11" s="210"/>
      <x:c r="V11" s="210"/>
      <x:c r="W11" s="210" t="n">
        <x:v>400</x:v>
      </x:c>
      <x:c r="X11" s="210"/>
      <x:c r="Y11" s="210"/>
      <x:c r="Z11" s="210"/>
      <x:c r="AA11" s="210" t="str">
        <x:v>DRAFT</x:v>
      </x:c>
      <x:c r="AB11" s="210"/>
      <x:c r="AC11" s="210"/>
      <x:c r="AD11" s="210"/>
      <x:c r="AE11" s="210"/>
      <x:c r="AF11" s="210"/>
      <x:c r="AG11" s="1093" t="str">
        <x:v>未実施</x:v>
      </x:c>
      <x:c r="AH11" s="210"/>
      <x:c r="AI11" s="210"/>
      <x:c r="AJ11" s="210"/>
      <x:c r="AK11" s="210"/>
      <x:c r="AL11" s="210"/>
      <x:c r="AM11" s="210" t="str">
        <x:f>IF(AG11="未実施","未実施",IF(AG11=AA11,"合格","不合格"))</x:f>
        <x:v>未実施</x:v>
      </x:c>
      <x:c r="AN11" s="210"/>
      <x:c r="AO11" s="210"/>
      <x:c r="AP11" s="210"/>
      <x:c r="AQ11" s="210" t="str">
        <x:v>F-06, EXP-E006</x:v>
      </x:c>
      <x:c r="AR11" s="210"/>
      <x:c r="AS11" s="210"/>
      <x:c r="AT11" s="210"/>
      <x:c r="AU11" s="210"/>
      <x:c r="AV11" s="210"/>
      <x:c r="AW11" s="210"/>
      <x:c r="AX11" s="210"/>
      <x:c r="AY11" s="210"/>
      <x:c r="AZ11" s="210"/>
    </x:row>
    <x:row r="12" ht="13.5" customHeight="1">
      <x:c r="A12" s="210" t="str">
        <x:v>TC-004</x:v>
      </x:c>
      <x:c r="B12" s="210"/>
      <x:c r="C12" s="210"/>
      <x:c r="D12" s="210"/>
      <x:c r="E12" s="210"/>
      <x:c r="F12" s="210" t="str">
        <x:v>同一Idempotency-Keyを再送</x:v>
      </x:c>
      <x:c r="G12" s="210"/>
      <x:c r="H12" s="210"/>
      <x:c r="I12" s="210"/>
      <x:c r="J12" s="210"/>
      <x:c r="K12" s="210"/>
      <x:c r="L12" s="210"/>
      <x:c r="M12" s="210"/>
      <x:c r="N12" s="210"/>
      <x:c r="O12" s="210" t="str">
        <x:v>既存結果を返却</x:v>
      </x:c>
      <x:c r="P12" s="210"/>
      <x:c r="Q12" s="210"/>
      <x:c r="R12" s="210"/>
      <x:c r="S12" s="210"/>
      <x:c r="T12" s="210"/>
      <x:c r="U12" s="210"/>
      <x:c r="V12" s="210"/>
      <x:c r="W12" s="210" t="n">
        <x:v>201</x:v>
      </x:c>
      <x:c r="X12" s="210"/>
      <x:c r="Y12" s="210"/>
      <x:c r="Z12" s="210"/>
      <x:c r="AA12" s="210" t="str">
        <x:v>SUBMITTED</x:v>
      </x:c>
      <x:c r="AB12" s="210"/>
      <x:c r="AC12" s="210"/>
      <x:c r="AD12" s="210"/>
      <x:c r="AE12" s="210"/>
      <x:c r="AF12" s="210"/>
      <x:c r="AG12" s="1093" t="str">
        <x:v>未実施</x:v>
      </x:c>
      <x:c r="AH12" s="210"/>
      <x:c r="AI12" s="210"/>
      <x:c r="AJ12" s="210"/>
      <x:c r="AK12" s="210"/>
      <x:c r="AL12" s="210"/>
      <x:c r="AM12" s="210" t="str">
        <x:f>IF(AG12="未実施","未実施",IF(AG12=AA12,"合格","不合格"))</x:f>
        <x:v>未実施</x:v>
      </x:c>
      <x:c r="AN12" s="210"/>
      <x:c r="AO12" s="210"/>
      <x:c r="AP12" s="210"/>
      <x:c r="AQ12" s="210" t="str">
        <x:v>DR-04, API-01</x:v>
      </x:c>
      <x:c r="AR12" s="210"/>
      <x:c r="AS12" s="210"/>
      <x:c r="AT12" s="210"/>
      <x:c r="AU12" s="210"/>
      <x:c r="AV12" s="210"/>
      <x:c r="AW12" s="210"/>
      <x:c r="AX12" s="210"/>
      <x:c r="AY12" s="210"/>
      <x:c r="AZ12" s="210"/>
    </x:row>
    <x:row r="13" ht="13.5" customHeight="1">
      <x:c r="A13" s="210" t="str">
        <x:v>TC-005</x:v>
      </x:c>
      <x:c r="B13" s="210"/>
      <x:c r="C13" s="210"/>
      <x:c r="D13" s="210"/>
      <x:c r="E13" s="210"/>
      <x:c r="F13" s="210" t="str">
        <x:v>承認者が理由付き差戻し</x:v>
      </x:c>
      <x:c r="G13" s="210"/>
      <x:c r="H13" s="210"/>
      <x:c r="I13" s="210"/>
      <x:c r="J13" s="210"/>
      <x:c r="K13" s="210"/>
      <x:c r="L13" s="210"/>
      <x:c r="M13" s="210"/>
      <x:c r="N13" s="210"/>
      <x:c r="O13" s="210" t="str">
        <x:v>PENDING→RETURNED</x:v>
      </x:c>
      <x:c r="P13" s="210"/>
      <x:c r="Q13" s="210"/>
      <x:c r="R13" s="210"/>
      <x:c r="S13" s="210"/>
      <x:c r="T13" s="210"/>
      <x:c r="U13" s="210"/>
      <x:c r="V13" s="210"/>
      <x:c r="W13" s="210" t="n">
        <x:v>200</x:v>
      </x:c>
      <x:c r="X13" s="210"/>
      <x:c r="Y13" s="210"/>
      <x:c r="Z13" s="210"/>
      <x:c r="AA13" s="210" t="str">
        <x:v>RETURNED</x:v>
      </x:c>
      <x:c r="AB13" s="210"/>
      <x:c r="AC13" s="210"/>
      <x:c r="AD13" s="210"/>
      <x:c r="AE13" s="210"/>
      <x:c r="AF13" s="210"/>
      <x:c r="AG13" s="1093" t="str">
        <x:v>未実施</x:v>
      </x:c>
      <x:c r="AH13" s="210"/>
      <x:c r="AI13" s="210"/>
      <x:c r="AJ13" s="210"/>
      <x:c r="AK13" s="210"/>
      <x:c r="AL13" s="210"/>
      <x:c r="AM13" s="210" t="str">
        <x:f>IF(AG13="未実施","未実施",IF(AG13=AA13,"合格","不合格"))</x:f>
        <x:v>未実施</x:v>
      </x:c>
      <x:c r="AN13" s="210"/>
      <x:c r="AO13" s="210"/>
      <x:c r="AP13" s="210"/>
      <x:c r="AQ13" s="210" t="str">
        <x:v>TR-05</x:v>
      </x:c>
      <x:c r="AR13" s="210"/>
      <x:c r="AS13" s="210"/>
      <x:c r="AT13" s="210"/>
      <x:c r="AU13" s="210"/>
      <x:c r="AV13" s="210"/>
      <x:c r="AW13" s="210"/>
      <x:c r="AX13" s="210"/>
      <x:c r="AY13" s="210"/>
      <x:c r="AZ13" s="210"/>
    </x:row>
    <x:row r="14" ht="13.5" customHeight="1">
      <x:c r="A14" s="210" t="str">
        <x:v>TC-006</x:v>
      </x:c>
      <x:c r="B14" s="210"/>
      <x:c r="C14" s="210"/>
      <x:c r="D14" s="210"/>
      <x:c r="E14" s="210"/>
      <x:c r="F14" s="210" t="str">
        <x:v>会計I/Fが5xxを返す</x:v>
      </x:c>
      <x:c r="G14" s="210"/>
      <x:c r="H14" s="210"/>
      <x:c r="I14" s="210"/>
      <x:c r="J14" s="210"/>
      <x:c r="K14" s="210"/>
      <x:c r="L14" s="210"/>
      <x:c r="M14" s="210"/>
      <x:c r="N14" s="210"/>
      <x:c r="O14" s="210" t="str">
        <x:v>再送キュー→成功</x:v>
      </x:c>
      <x:c r="P14" s="210"/>
      <x:c r="Q14" s="210"/>
      <x:c r="R14" s="210"/>
      <x:c r="S14" s="210"/>
      <x:c r="T14" s="210"/>
      <x:c r="U14" s="210"/>
      <x:c r="V14" s="210"/>
      <x:c r="W14" s="210" t="n">
        <x:v>200</x:v>
      </x:c>
      <x:c r="X14" s="210"/>
      <x:c r="Y14" s="210"/>
      <x:c r="Z14" s="210"/>
      <x:c r="AA14" s="210" t="str">
        <x:v>PAYMENT_PENDING</x:v>
      </x:c>
      <x:c r="AB14" s="210"/>
      <x:c r="AC14" s="210"/>
      <x:c r="AD14" s="210"/>
      <x:c r="AE14" s="210"/>
      <x:c r="AF14" s="210"/>
      <x:c r="AG14" s="1093" t="str">
        <x:v>未実施</x:v>
      </x:c>
      <x:c r="AH14" s="210"/>
      <x:c r="AI14" s="210"/>
      <x:c r="AJ14" s="210"/>
      <x:c r="AK14" s="210"/>
      <x:c r="AL14" s="210"/>
      <x:c r="AM14" s="210" t="str">
        <x:f>IF(AG14="未実施","未実施",IF(AG14=AA14,"合格","不合格"))</x:f>
        <x:v>未実施</x:v>
      </x:c>
      <x:c r="AN14" s="210"/>
      <x:c r="AO14" s="210"/>
      <x:c r="AP14" s="210"/>
      <x:c r="AQ14" s="210" t="str">
        <x:v>業務フロー 連携失敗</x:v>
      </x:c>
      <x:c r="AR14" s="210"/>
      <x:c r="AS14" s="210"/>
      <x:c r="AT14" s="210"/>
      <x:c r="AU14" s="210"/>
      <x:c r="AV14" s="210"/>
      <x:c r="AW14" s="210"/>
      <x:c r="AX14" s="210"/>
      <x:c r="AY14" s="210"/>
      <x:c r="AZ14" s="210"/>
    </x:row>
    <x:row r="15" ht="13.5" customHeight="1">
      <x:c r="A15" s="210" t="str">
        <x:v>TC-007</x:v>
      </x:c>
      <x:c r="B15" s="210"/>
      <x:c r="C15" s="210"/>
      <x:c r="D15" s="210"/>
      <x:c r="E15" s="210"/>
      <x:c r="F15" s="210" t="str">
        <x:v>支払済申請を更新</x:v>
      </x:c>
      <x:c r="G15" s="210"/>
      <x:c r="H15" s="210"/>
      <x:c r="I15" s="210"/>
      <x:c r="J15" s="210"/>
      <x:c r="K15" s="210"/>
      <x:c r="L15" s="210"/>
      <x:c r="M15" s="210"/>
      <x:c r="N15" s="210"/>
      <x:c r="O15" s="210" t="str">
        <x:v>不変条件違反</x:v>
      </x:c>
      <x:c r="P15" s="210"/>
      <x:c r="Q15" s="210"/>
      <x:c r="R15" s="210"/>
      <x:c r="S15" s="210"/>
      <x:c r="T15" s="210"/>
      <x:c r="U15" s="210"/>
      <x:c r="V15" s="210"/>
      <x:c r="W15" s="210" t="n">
        <x:v>409</x:v>
      </x:c>
      <x:c r="X15" s="210"/>
      <x:c r="Y15" s="210"/>
      <x:c r="Z15" s="210"/>
      <x:c r="AA15" s="210" t="str">
        <x:v>PAID</x:v>
      </x:c>
      <x:c r="AB15" s="210"/>
      <x:c r="AC15" s="210"/>
      <x:c r="AD15" s="210"/>
      <x:c r="AE15" s="210"/>
      <x:c r="AF15" s="210"/>
      <x:c r="AG15" s="1093" t="str">
        <x:v>未実施</x:v>
      </x:c>
      <x:c r="AH15" s="210"/>
      <x:c r="AI15" s="210"/>
      <x:c r="AJ15" s="210"/>
      <x:c r="AK15" s="210"/>
      <x:c r="AL15" s="210"/>
      <x:c r="AM15" s="210" t="str">
        <x:f>IF(AG15="未実施","未実施",IF(AG15=AA15,"合格","不合格"))</x:f>
        <x:v>未実施</x:v>
      </x:c>
      <x:c r="AN15" s="210"/>
      <x:c r="AO15" s="210"/>
      <x:c r="AP15" s="210"/>
      <x:c r="AQ15" s="210" t="str">
        <x:v>DR-09</x:v>
      </x:c>
      <x:c r="AR15" s="210"/>
      <x:c r="AS15" s="210"/>
      <x:c r="AT15" s="210"/>
      <x:c r="AU15" s="210"/>
      <x:c r="AV15" s="210"/>
      <x:c r="AW15" s="210"/>
      <x:c r="AX15" s="210"/>
      <x:c r="AY15" s="210"/>
      <x:c r="AZ15" s="210"/>
    </x:row>
    <x:row r="16" ht="13.5" customHeight="1">
      <x:c r="A16" s="210" t="str">
        <x:v>TC-008</x:v>
      </x:c>
      <x:c r="B16" s="210"/>
      <x:c r="C16" s="210"/>
      <x:c r="D16" s="210"/>
      <x:c r="E16" s="210"/>
      <x:c r="F16" s="210" t="str">
        <x:v>Event Busを5分停止</x:v>
      </x:c>
      <x:c r="G16" s="210"/>
      <x:c r="H16" s="210"/>
      <x:c r="I16" s="210"/>
      <x:c r="J16" s="210"/>
      <x:c r="K16" s="210"/>
      <x:c r="L16" s="210"/>
      <x:c r="M16" s="210"/>
      <x:c r="N16" s="210"/>
      <x:c r="O16" s="210" t="str">
        <x:v>Outbox再送→承認タスク生成</x:v>
      </x:c>
      <x:c r="P16" s="210"/>
      <x:c r="Q16" s="210"/>
      <x:c r="R16" s="210"/>
      <x:c r="S16" s="210"/>
      <x:c r="T16" s="210"/>
      <x:c r="U16" s="210"/>
      <x:c r="V16" s="210"/>
      <x:c r="W16" s="210" t="n">
        <x:v>201</x:v>
      </x:c>
      <x:c r="X16" s="210"/>
      <x:c r="Y16" s="210"/>
      <x:c r="Z16" s="210"/>
      <x:c r="AA16" s="210" t="str">
        <x:v>PENDING</x:v>
      </x:c>
      <x:c r="AB16" s="210"/>
      <x:c r="AC16" s="210"/>
      <x:c r="AD16" s="210"/>
      <x:c r="AE16" s="210"/>
      <x:c r="AF16" s="210"/>
      <x:c r="AG16" s="1093" t="str">
        <x:v>未実施</x:v>
      </x:c>
      <x:c r="AH16" s="210"/>
      <x:c r="AI16" s="210"/>
      <x:c r="AJ16" s="210"/>
      <x:c r="AK16" s="210"/>
      <x:c r="AL16" s="210"/>
      <x:c r="AM16" s="210" t="str">
        <x:f>IF(AG16="未実施","未実施",IF(AG16=AA16,"合格","不合格"))</x:f>
        <x:v>未実施</x:v>
      </x:c>
      <x:c r="AN16" s="210"/>
      <x:c r="AO16" s="210"/>
      <x:c r="AP16" s="210"/>
      <x:c r="AQ16" s="210" t="str">
        <x:v>SQ-01, EVT-01, NFR-OPS-04</x:v>
      </x:c>
      <x:c r="AR16" s="210"/>
      <x:c r="AS16" s="210"/>
      <x:c r="AT16" s="210"/>
      <x:c r="AU16" s="210"/>
      <x:c r="AV16" s="210"/>
      <x:c r="AW16" s="210"/>
      <x:c r="AX16" s="210"/>
      <x:c r="AY16" s="210"/>
      <x:c r="AZ16" s="210"/>
    </x:row>
    <x:row r="17" ht="13.5" customHeight="1">
      <x:c r="A17" s="210" t="str">
        <x:v>TC-009</x:v>
      </x:c>
      <x:c r="B17" s="210"/>
      <x:c r="C17" s="210"/>
      <x:c r="D17" s="210"/>
      <x:c r="E17" s="210"/>
      <x:c r="F17" s="210" t="str">
        <x:v>会計I/Fが5回連続失敗</x:v>
      </x:c>
      <x:c r="G17" s="210"/>
      <x:c r="H17" s="210"/>
      <x:c r="I17" s="210"/>
      <x:c r="J17" s="210"/>
      <x:c r="K17" s="210"/>
      <x:c r="L17" s="210"/>
      <x:c r="M17" s="210"/>
      <x:c r="N17" s="210"/>
      <x:c r="O17" s="210" t="str">
        <x:v>DLQ→ERROR→手動再送</x:v>
      </x:c>
      <x:c r="P17" s="210"/>
      <x:c r="Q17" s="210"/>
      <x:c r="R17" s="210"/>
      <x:c r="S17" s="210"/>
      <x:c r="T17" s="210"/>
      <x:c r="U17" s="210"/>
      <x:c r="V17" s="210"/>
      <x:c r="W17" s="210" t="n">
        <x:v>200</x:v>
      </x:c>
      <x:c r="X17" s="210"/>
      <x:c r="Y17" s="210"/>
      <x:c r="Z17" s="210"/>
      <x:c r="AA17" s="210" t="str">
        <x:v>ERROR</x:v>
      </x:c>
      <x:c r="AB17" s="210"/>
      <x:c r="AC17" s="210"/>
      <x:c r="AD17" s="210"/>
      <x:c r="AE17" s="210"/>
      <x:c r="AF17" s="210"/>
      <x:c r="AG17" s="1093" t="str">
        <x:v>未実施</x:v>
      </x:c>
      <x:c r="AH17" s="210"/>
      <x:c r="AI17" s="210"/>
      <x:c r="AJ17" s="210"/>
      <x:c r="AK17" s="210"/>
      <x:c r="AL17" s="210"/>
      <x:c r="AM17" s="210" t="str">
        <x:f>IF(AG17="未実施","未実施",IF(AG17=AA17,"合格","不合格"))</x:f>
        <x:v>未実施</x:v>
      </x:c>
      <x:c r="AN17" s="210"/>
      <x:c r="AO17" s="210"/>
      <x:c r="AP17" s="210"/>
      <x:c r="AQ17" s="210" t="str">
        <x:v>TR-09/10, BR-03, OPS-ALM-02</x:v>
      </x:c>
      <x:c r="AR17" s="210"/>
      <x:c r="AS17" s="210"/>
      <x:c r="AT17" s="210"/>
      <x:c r="AU17" s="210"/>
      <x:c r="AV17" s="210"/>
      <x:c r="AW17" s="210"/>
      <x:c r="AX17" s="210"/>
      <x:c r="AY17" s="210"/>
      <x:c r="AZ17" s="210"/>
    </x:row>
    <x:row r="18" ht="13.5" customHeight="1">
      <x:c r="A18" s="2"/>
      <x:c r="B18" s="77" t="str">
        <x:v>7.2 実施サマリー（数式）</x:v>
      </x:c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78"/>
      <x:c r="U18" s="78"/>
      <x:c r="V18" s="78"/>
      <x:c r="W18" s="78"/>
      <x:c r="X18" s="78"/>
      <x:c r="Y18" s="78"/>
      <x:c r="Z18" s="78"/>
      <x:c r="AA18" s="78"/>
      <x:c r="AB18" s="78"/>
      <x:c r="AC18" s="78"/>
      <x:c r="AD18" s="78"/>
      <x:c r="AE18" s="78"/>
      <x:c r="AF18" s="78"/>
      <x:c r="AG18" s="78"/>
      <x:c r="AH18" s="78"/>
      <x:c r="AI18" s="78"/>
      <x:c r="AJ18" s="78"/>
      <x:c r="AK18" s="78"/>
      <x:c r="AL18" s="78"/>
      <x:c r="AM18" s="78"/>
      <x:c r="AN18" s="78"/>
      <x:c r="AO18" s="78"/>
      <x:c r="AP18" s="78"/>
      <x:c r="AQ18" s="78"/>
      <x:c r="AR18" s="78"/>
      <x:c r="AS18" s="78"/>
      <x:c r="AT18" s="78"/>
      <x:c r="AU18" s="78"/>
      <x:c r="AV18" s="78"/>
      <x:c r="AW18" s="78"/>
      <x:c r="AX18" s="79"/>
      <x:c r="AY18" s="2"/>
      <x:c r="AZ18" s="2"/>
    </x:row>
    <x:row r="19" ht="13.5" customHeight="1">
      <x:c r="A19" s="2"/>
      <x:c r="B19" s="80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  <x:c r="AA19" s="81"/>
      <x:c r="AB19" s="81"/>
      <x:c r="AC19" s="81"/>
      <x:c r="AD19" s="81"/>
      <x:c r="AE19" s="81"/>
      <x:c r="AF19" s="81"/>
      <x:c r="AG19" s="81"/>
      <x:c r="AH19" s="81"/>
      <x:c r="AI19" s="81"/>
      <x:c r="AJ19" s="81"/>
      <x:c r="AK19" s="81"/>
      <x:c r="AL19" s="81"/>
      <x:c r="AM19" s="81"/>
      <x:c r="AN19" s="81"/>
      <x:c r="AO19" s="81"/>
      <x:c r="AP19" s="81"/>
      <x:c r="AQ19" s="81"/>
      <x:c r="AR19" s="81"/>
      <x:c r="AS19" s="81"/>
      <x:c r="AT19" s="81"/>
      <x:c r="AU19" s="81"/>
      <x:c r="AV19" s="81"/>
      <x:c r="AW19" s="81"/>
      <x:c r="AX19" s="82"/>
      <x:c r="AY19" s="2"/>
      <x:c r="AZ19" s="2"/>
    </x:row>
    <x:row r="20" ht="13.5" customHeight="1">
      <x:c r="A20" s="2"/>
      <x:c r="B20" s="2"/>
      <x:c r="C20" s="1113" t="str">
        <x:v>総件数</x:v>
      </x:c>
      <x:c r="D20" s="1114"/>
      <x:c r="E20" s="1114"/>
      <x:c r="F20" s="1114"/>
      <x:c r="G20" s="1114"/>
      <x:c r="H20" s="1114"/>
      <x:c r="I20" s="1114"/>
      <x:c r="J20" s="1114"/>
      <x:c r="K20" s="1114"/>
      <x:c r="L20" s="1115"/>
      <x:c r="M20" s="2"/>
      <x:c r="N20" s="2"/>
      <x:c r="O20" s="1174" t="str">
        <x:v>合格</x:v>
      </x:c>
      <x:c r="P20" s="1175"/>
      <x:c r="Q20" s="1175"/>
      <x:c r="R20" s="1175"/>
      <x:c r="S20" s="1175"/>
      <x:c r="T20" s="1175"/>
      <x:c r="U20" s="1175"/>
      <x:c r="V20" s="1175"/>
      <x:c r="W20" s="1175"/>
      <x:c r="X20" s="1176"/>
      <x:c r="Y20" s="2"/>
      <x:c r="Z20" s="2"/>
      <x:c r="AA20" s="1222" t="str">
        <x:v>不合格</x:v>
      </x:c>
      <x:c r="AB20" s="1223"/>
      <x:c r="AC20" s="1223"/>
      <x:c r="AD20" s="1223"/>
      <x:c r="AE20" s="1223"/>
      <x:c r="AF20" s="1223"/>
      <x:c r="AG20" s="1223"/>
      <x:c r="AH20" s="1223"/>
      <x:c r="AI20" s="1223"/>
      <x:c r="AJ20" s="1224"/>
      <x:c r="AK20" s="2"/>
      <x:c r="AL20" s="2"/>
      <x:c r="AM20" s="1270" t="str">
        <x:v>未実施</x:v>
      </x:c>
      <x:c r="AN20" s="1271"/>
      <x:c r="AO20" s="1271"/>
      <x:c r="AP20" s="1271"/>
      <x:c r="AQ20" s="1271"/>
      <x:c r="AR20" s="1271"/>
      <x:c r="AS20" s="1271"/>
      <x:c r="AT20" s="1271"/>
      <x:c r="AU20" s="1271"/>
      <x:c r="AV20" s="1272"/>
      <x:c r="AW20" s="2"/>
      <x:c r="AX20" s="2"/>
      <x:c r="AY20" s="2"/>
      <x:c r="AZ20" s="2"/>
    </x:row>
    <x:row r="21" ht="13.5" customHeight="1">
      <x:c r="A21" s="2"/>
      <x:c r="B21" s="2"/>
      <x:c r="C21" s="1116"/>
      <x:c r="D21" s="1117"/>
      <x:c r="E21" s="1117"/>
      <x:c r="F21" s="1117"/>
      <x:c r="G21" s="1117"/>
      <x:c r="H21" s="1117"/>
      <x:c r="I21" s="1117"/>
      <x:c r="J21" s="1117"/>
      <x:c r="K21" s="1117"/>
      <x:c r="L21" s="1118"/>
      <x:c r="M21" s="2"/>
      <x:c r="N21" s="2"/>
      <x:c r="O21" s="1177"/>
      <x:c r="P21" s="1178"/>
      <x:c r="Q21" s="1178"/>
      <x:c r="R21" s="1178"/>
      <x:c r="S21" s="1178"/>
      <x:c r="T21" s="1178"/>
      <x:c r="U21" s="1178"/>
      <x:c r="V21" s="1178"/>
      <x:c r="W21" s="1178"/>
      <x:c r="X21" s="1179"/>
      <x:c r="Y21" s="2"/>
      <x:c r="Z21" s="2"/>
      <x:c r="AA21" s="1225"/>
      <x:c r="AB21" s="1226"/>
      <x:c r="AC21" s="1226"/>
      <x:c r="AD21" s="1226"/>
      <x:c r="AE21" s="1226"/>
      <x:c r="AF21" s="1226"/>
      <x:c r="AG21" s="1226"/>
      <x:c r="AH21" s="1226"/>
      <x:c r="AI21" s="1226"/>
      <x:c r="AJ21" s="1227"/>
      <x:c r="AK21" s="2"/>
      <x:c r="AL21" s="2"/>
      <x:c r="AM21" s="1273"/>
      <x:c r="AN21" s="1274"/>
      <x:c r="AO21" s="1274"/>
      <x:c r="AP21" s="1274"/>
      <x:c r="AQ21" s="1274"/>
      <x:c r="AR21" s="1274"/>
      <x:c r="AS21" s="1274"/>
      <x:c r="AT21" s="1274"/>
      <x:c r="AU21" s="1274"/>
      <x:c r="AV21" s="1275"/>
      <x:c r="AW21" s="2"/>
      <x:c r="AX21" s="2"/>
      <x:c r="AY21" s="2"/>
      <x:c r="AZ21" s="2"/>
    </x:row>
    <x:row r="22" ht="13.5" customHeight="1">
      <x:c r="A22" s="2"/>
      <x:c r="B22" s="2"/>
      <x:c r="C22" s="1146" t="n">
        <x:f>COUNTA(A9:A17)</x:f>
        <x:v>9</x:v>
      </x:c>
      <x:c r="D22" s="1147"/>
      <x:c r="E22" s="1147"/>
      <x:c r="F22" s="1147"/>
      <x:c r="G22" s="1147"/>
      <x:c r="H22" s="1147"/>
      <x:c r="I22" s="1147"/>
      <x:c r="J22" s="1147"/>
      <x:c r="K22" s="1147"/>
      <x:c r="L22" s="1148"/>
      <x:c r="M22" s="2"/>
      <x:c r="N22" s="2"/>
      <x:c r="O22" s="1207" t="n">
        <x:f>COUNTIF(AM9:AM17,"合格")</x:f>
        <x:v>0</x:v>
      </x:c>
      <x:c r="P22" s="1208"/>
      <x:c r="Q22" s="1208"/>
      <x:c r="R22" s="1208"/>
      <x:c r="S22" s="1208"/>
      <x:c r="T22" s="1208"/>
      <x:c r="U22" s="1208"/>
      <x:c r="V22" s="1208"/>
      <x:c r="W22" s="1208"/>
      <x:c r="X22" s="1209"/>
      <x:c r="Y22" s="2"/>
      <x:c r="Z22" s="2"/>
      <x:c r="AA22" s="1255" t="n">
        <x:f>COUNTIF(AM9:AM17,"不合格")</x:f>
        <x:v>0</x:v>
      </x:c>
      <x:c r="AB22" s="1256"/>
      <x:c r="AC22" s="1256"/>
      <x:c r="AD22" s="1256"/>
      <x:c r="AE22" s="1256"/>
      <x:c r="AF22" s="1256"/>
      <x:c r="AG22" s="1256"/>
      <x:c r="AH22" s="1256"/>
      <x:c r="AI22" s="1256"/>
      <x:c r="AJ22" s="1257"/>
      <x:c r="AK22" s="2"/>
      <x:c r="AL22" s="2"/>
      <x:c r="AM22" s="1303" t="n">
        <x:f>COUNTIF(AM9:AM17,"未実施")</x:f>
        <x:v>9</x:v>
      </x:c>
      <x:c r="AN22" s="1304"/>
      <x:c r="AO22" s="1304"/>
      <x:c r="AP22" s="1304"/>
      <x:c r="AQ22" s="1304"/>
      <x:c r="AR22" s="1304"/>
      <x:c r="AS22" s="1304"/>
      <x:c r="AT22" s="1304"/>
      <x:c r="AU22" s="1304"/>
      <x:c r="AV22" s="1305"/>
      <x:c r="AW22" s="2"/>
      <x:c r="AX22" s="2"/>
      <x:c r="AY22" s="2"/>
      <x:c r="AZ22" s="2"/>
    </x:row>
    <x:row r="23" ht="13.5" customHeight="1">
      <x:c r="A23" s="2"/>
      <x:c r="B23" s="2"/>
      <x:c r="C23" s="1149"/>
      <x:c r="D23" s="1150"/>
      <x:c r="E23" s="1150"/>
      <x:c r="F23" s="1150"/>
      <x:c r="G23" s="1150"/>
      <x:c r="H23" s="1150"/>
      <x:c r="I23" s="1150"/>
      <x:c r="J23" s="1150"/>
      <x:c r="K23" s="1150"/>
      <x:c r="L23" s="1151"/>
      <x:c r="M23" s="2"/>
      <x:c r="N23" s="2"/>
      <x:c r="O23" s="1210"/>
      <x:c r="P23" s="1211"/>
      <x:c r="Q23" s="1211"/>
      <x:c r="R23" s="1211"/>
      <x:c r="S23" s="1211"/>
      <x:c r="T23" s="1211"/>
      <x:c r="U23" s="1211"/>
      <x:c r="V23" s="1211"/>
      <x:c r="W23" s="1211"/>
      <x:c r="X23" s="1212"/>
      <x:c r="Y23" s="2"/>
      <x:c r="Z23" s="2"/>
      <x:c r="AA23" s="1258"/>
      <x:c r="AB23" s="1259"/>
      <x:c r="AC23" s="1259"/>
      <x:c r="AD23" s="1259"/>
      <x:c r="AE23" s="1259"/>
      <x:c r="AF23" s="1259"/>
      <x:c r="AG23" s="1259"/>
      <x:c r="AH23" s="1259"/>
      <x:c r="AI23" s="1259"/>
      <x:c r="AJ23" s="1260"/>
      <x:c r="AK23" s="2"/>
      <x:c r="AL23" s="2"/>
      <x:c r="AM23" s="1306"/>
      <x:c r="AN23" s="1307"/>
      <x:c r="AO23" s="1307"/>
      <x:c r="AP23" s="1307"/>
      <x:c r="AQ23" s="1307"/>
      <x:c r="AR23" s="1307"/>
      <x:c r="AS23" s="1307"/>
      <x:c r="AT23" s="1307"/>
      <x:c r="AU23" s="1307"/>
      <x:c r="AV23" s="1308"/>
      <x:c r="AW23" s="2"/>
      <x:c r="AX23" s="2"/>
      <x:c r="AY23" s="2"/>
      <x:c r="AZ23" s="2"/>
    </x:row>
    <x:row r="24" ht="13.5" customHeight="1">
      <x:c r="A24" s="2"/>
      <x:c r="B24" s="2"/>
      <x:c r="C24" s="1149"/>
      <x:c r="D24" s="1150"/>
      <x:c r="E24" s="1150"/>
      <x:c r="F24" s="1150"/>
      <x:c r="G24" s="1150"/>
      <x:c r="H24" s="1150"/>
      <x:c r="I24" s="1150"/>
      <x:c r="J24" s="1150"/>
      <x:c r="K24" s="1150"/>
      <x:c r="L24" s="1151"/>
      <x:c r="M24" s="2"/>
      <x:c r="N24" s="2"/>
      <x:c r="O24" s="1210"/>
      <x:c r="P24" s="1211"/>
      <x:c r="Q24" s="1211"/>
      <x:c r="R24" s="1211"/>
      <x:c r="S24" s="1211"/>
      <x:c r="T24" s="1211"/>
      <x:c r="U24" s="1211"/>
      <x:c r="V24" s="1211"/>
      <x:c r="W24" s="1211"/>
      <x:c r="X24" s="1212"/>
      <x:c r="Y24" s="2"/>
      <x:c r="Z24" s="2"/>
      <x:c r="AA24" s="1258"/>
      <x:c r="AB24" s="1259"/>
      <x:c r="AC24" s="1259"/>
      <x:c r="AD24" s="1259"/>
      <x:c r="AE24" s="1259"/>
      <x:c r="AF24" s="1259"/>
      <x:c r="AG24" s="1259"/>
      <x:c r="AH24" s="1259"/>
      <x:c r="AI24" s="1259"/>
      <x:c r="AJ24" s="1260"/>
      <x:c r="AK24" s="2"/>
      <x:c r="AL24" s="2"/>
      <x:c r="AM24" s="1306"/>
      <x:c r="AN24" s="1307"/>
      <x:c r="AO24" s="1307"/>
      <x:c r="AP24" s="1307"/>
      <x:c r="AQ24" s="1307"/>
      <x:c r="AR24" s="1307"/>
      <x:c r="AS24" s="1307"/>
      <x:c r="AT24" s="1307"/>
      <x:c r="AU24" s="1307"/>
      <x:c r="AV24" s="1308"/>
      <x:c r="AW24" s="2"/>
      <x:c r="AX24" s="2"/>
      <x:c r="AY24" s="2"/>
      <x:c r="AZ24" s="2"/>
    </x:row>
    <x:row r="25" ht="13.5" customHeight="1">
      <x:c r="A25" s="2"/>
      <x:c r="B25" s="2"/>
      <x:c r="C25" s="1152"/>
      <x:c r="D25" s="1153"/>
      <x:c r="E25" s="1153"/>
      <x:c r="F25" s="1153"/>
      <x:c r="G25" s="1153"/>
      <x:c r="H25" s="1153"/>
      <x:c r="I25" s="1153"/>
      <x:c r="J25" s="1153"/>
      <x:c r="K25" s="1153"/>
      <x:c r="L25" s="1154"/>
      <x:c r="M25" s="2"/>
      <x:c r="N25" s="2"/>
      <x:c r="O25" s="1213"/>
      <x:c r="P25" s="1214"/>
      <x:c r="Q25" s="1214"/>
      <x:c r="R25" s="1214"/>
      <x:c r="S25" s="1214"/>
      <x:c r="T25" s="1214"/>
      <x:c r="U25" s="1214"/>
      <x:c r="V25" s="1214"/>
      <x:c r="W25" s="1214"/>
      <x:c r="X25" s="1215"/>
      <x:c r="Y25" s="2"/>
      <x:c r="Z25" s="2"/>
      <x:c r="AA25" s="1261"/>
      <x:c r="AB25" s="1262"/>
      <x:c r="AC25" s="1262"/>
      <x:c r="AD25" s="1262"/>
      <x:c r="AE25" s="1262"/>
      <x:c r="AF25" s="1262"/>
      <x:c r="AG25" s="1262"/>
      <x:c r="AH25" s="1262"/>
      <x:c r="AI25" s="1262"/>
      <x:c r="AJ25" s="1263"/>
      <x:c r="AK25" s="2"/>
      <x:c r="AL25" s="2"/>
      <x:c r="AM25" s="1309"/>
      <x:c r="AN25" s="1310"/>
      <x:c r="AO25" s="1310"/>
      <x:c r="AP25" s="1310"/>
      <x:c r="AQ25" s="1310"/>
      <x:c r="AR25" s="1310"/>
      <x:c r="AS25" s="1310"/>
      <x:c r="AT25" s="1310"/>
      <x:c r="AU25" s="1310"/>
      <x:c r="AV25" s="1311"/>
      <x:c r="AW25" s="2"/>
      <x:c r="AX25" s="2"/>
      <x:c r="AY25" s="2"/>
      <x:c r="AZ25" s="2"/>
    </x:row>
    <x:row r="26" ht="13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 ht="13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 ht="13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 ht="13.5" customHeight="1">
      <x:c r="A29" s="2"/>
      <x:c r="B29" s="77" t="str">
        <x:v>7.3 重点確認事項</x:v>
      </x:c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78"/>
      <x:c r="AA29" s="78"/>
      <x:c r="AB29" s="78"/>
      <x:c r="AC29" s="78"/>
      <x:c r="AD29" s="78"/>
      <x:c r="AE29" s="78"/>
      <x:c r="AF29" s="78"/>
      <x:c r="AG29" s="78"/>
      <x:c r="AH29" s="78"/>
      <x:c r="AI29" s="78"/>
      <x:c r="AJ29" s="78"/>
      <x:c r="AK29" s="78"/>
      <x:c r="AL29" s="78"/>
      <x:c r="AM29" s="78"/>
      <x:c r="AN29" s="78"/>
      <x:c r="AO29" s="78"/>
      <x:c r="AP29" s="78"/>
      <x:c r="AQ29" s="78"/>
      <x:c r="AR29" s="78"/>
      <x:c r="AS29" s="78"/>
      <x:c r="AT29" s="78"/>
      <x:c r="AU29" s="78"/>
      <x:c r="AV29" s="78"/>
      <x:c r="AW29" s="78"/>
      <x:c r="AX29" s="79"/>
      <x:c r="AY29" s="2"/>
      <x:c r="AZ29" s="2"/>
    </x:row>
    <x:row r="30" ht="13.5" customHeight="1">
      <x:c r="A30" s="2"/>
      <x:c r="B30" s="80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  <x:c r="AA30" s="81"/>
      <x:c r="AB30" s="81"/>
      <x:c r="AC30" s="81"/>
      <x:c r="AD30" s="81"/>
      <x:c r="AE30" s="81"/>
      <x:c r="AF30" s="81"/>
      <x:c r="AG30" s="81"/>
      <x:c r="AH30" s="81"/>
      <x:c r="AI30" s="81"/>
      <x:c r="AJ30" s="81"/>
      <x:c r="AK30" s="81"/>
      <x:c r="AL30" s="81"/>
      <x:c r="AM30" s="81"/>
      <x:c r="AN30" s="81"/>
      <x:c r="AO30" s="81"/>
      <x:c r="AP30" s="81"/>
      <x:c r="AQ30" s="81"/>
      <x:c r="AR30" s="81"/>
      <x:c r="AS30" s="81"/>
      <x:c r="AT30" s="81"/>
      <x:c r="AU30" s="81"/>
      <x:c r="AV30" s="81"/>
      <x:c r="AW30" s="81"/>
      <x:c r="AX30" s="82"/>
      <x:c r="AY30" s="2"/>
      <x:c r="AZ30" s="2"/>
    </x:row>
    <x:row r="31" ht="13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 ht="13.5" customHeight="1">
      <x:c r="A32" s="2"/>
      <x:c r="B32" s="127" t="str">
        <x:v>分類</x:v>
      </x:c>
      <x:c r="C32" s="127"/>
      <x:c r="D32" s="127"/>
      <x:c r="E32" s="127"/>
      <x:c r="F32" s="127"/>
      <x:c r="G32" s="127"/>
      <x:c r="H32" s="127"/>
      <x:c r="I32" s="127" t="str">
        <x:v>確認事項</x:v>
      </x:c>
      <x:c r="J32" s="127"/>
      <x:c r="K32" s="127"/>
      <x:c r="L32" s="127"/>
      <x:c r="M32" s="127"/>
      <x:c r="N32" s="127"/>
      <x:c r="O32" s="127"/>
      <x:c r="P32" s="127"/>
      <x:c r="Q32" s="127"/>
      <x:c r="R32" s="127"/>
      <x:c r="S32" s="127"/>
      <x:c r="T32" s="127"/>
      <x:c r="U32" s="127"/>
      <x:c r="V32" s="127"/>
      <x:c r="W32" s="127"/>
      <x:c r="X32" s="127"/>
      <x:c r="Y32" s="127"/>
      <x:c r="Z32" s="127"/>
      <x:c r="AA32" s="127"/>
      <x:c r="AB32" s="127"/>
      <x:c r="AC32" s="127"/>
      <x:c r="AD32" s="127"/>
      <x:c r="AE32" s="127"/>
      <x:c r="AF32" s="127"/>
      <x:c r="AG32" s="127"/>
      <x:c r="AH32" s="127"/>
      <x:c r="AI32" s="127" t="str">
        <x:v>合格基準</x:v>
      </x:c>
      <x:c r="AJ32" s="127"/>
      <x:c r="AK32" s="127"/>
      <x:c r="AL32" s="127"/>
      <x:c r="AM32" s="127"/>
      <x:c r="AN32" s="127"/>
      <x:c r="AO32" s="127"/>
      <x:c r="AP32" s="127"/>
      <x:c r="AQ32" s="127"/>
      <x:c r="AR32" s="127"/>
      <x:c r="AS32" s="127"/>
      <x:c r="AT32" s="127"/>
      <x:c r="AU32" s="127"/>
      <x:c r="AV32" s="127"/>
      <x:c r="AW32" s="127"/>
      <x:c r="AX32" s="127"/>
      <x:c r="AY32" s="2"/>
      <x:c r="AZ32" s="2"/>
    </x:row>
    <x:row r="33" ht="13.5" customHeight="1">
      <x:c r="A33" s="2"/>
      <x:c r="B33" s="210" t="str">
        <x:v>状態</x:v>
      </x:c>
      <x:c r="C33" s="210"/>
      <x:c r="D33" s="210"/>
      <x:c r="E33" s="210"/>
      <x:c r="F33" s="210"/>
      <x:c r="G33" s="210"/>
      <x:c r="H33" s="210"/>
      <x:c r="I33" s="210" t="str">
        <x:v>定義外の状態遷移を拒否する</x:v>
      </x:c>
      <x:c r="J33" s="210"/>
      <x:c r="K33" s="210"/>
      <x:c r="L33" s="210"/>
      <x:c r="M33" s="210"/>
      <x:c r="N33" s="210"/>
      <x:c r="O33" s="210"/>
      <x:c r="P33" s="210"/>
      <x:c r="Q33" s="210"/>
      <x:c r="R33" s="210"/>
      <x:c r="S33" s="210"/>
      <x:c r="T33" s="210"/>
      <x:c r="U33" s="210"/>
      <x:c r="V33" s="210"/>
      <x:c r="W33" s="210"/>
      <x:c r="X33" s="210"/>
      <x:c r="Y33" s="210"/>
      <x:c r="Z33" s="210"/>
      <x:c r="AA33" s="210"/>
      <x:c r="AB33" s="210"/>
      <x:c r="AC33" s="210"/>
      <x:c r="AD33" s="210"/>
      <x:c r="AE33" s="210"/>
      <x:c r="AF33" s="210"/>
      <x:c r="AG33" s="210"/>
      <x:c r="AH33" s="210"/>
      <x:c r="AI33" s="210" t="str">
        <x:v>409を返しDB状態が変わらない</x:v>
      </x:c>
      <x:c r="AJ33" s="210"/>
      <x:c r="AK33" s="210"/>
      <x:c r="AL33" s="210"/>
      <x:c r="AM33" s="210"/>
      <x:c r="AN33" s="210"/>
      <x:c r="AO33" s="210"/>
      <x:c r="AP33" s="210"/>
      <x:c r="AQ33" s="210"/>
      <x:c r="AR33" s="210"/>
      <x:c r="AS33" s="210"/>
      <x:c r="AT33" s="210"/>
      <x:c r="AU33" s="210"/>
      <x:c r="AV33" s="210"/>
      <x:c r="AW33" s="210"/>
      <x:c r="AX33" s="210"/>
      <x:c r="AY33" s="2"/>
      <x:c r="AZ33" s="2"/>
    </x:row>
    <x:row r="34" ht="13.5" customHeight="1">
      <x:c r="A34" s="2"/>
      <x:c r="B34" s="210" t="str">
        <x:v>冪等性</x:v>
      </x:c>
      <x:c r="C34" s="210"/>
      <x:c r="D34" s="210"/>
      <x:c r="E34" s="210"/>
      <x:c r="F34" s="210"/>
      <x:c r="G34" s="210"/>
      <x:c r="H34" s="210"/>
      <x:c r="I34" s="210" t="str">
        <x:v>同一キーの再送で二重登録しない</x:v>
      </x:c>
      <x:c r="J34" s="210"/>
      <x:c r="K34" s="210"/>
      <x:c r="L34" s="210"/>
      <x:c r="M34" s="210"/>
      <x:c r="N34" s="210"/>
      <x:c r="O34" s="210"/>
      <x:c r="P34" s="210"/>
      <x:c r="Q34" s="210"/>
      <x:c r="R34" s="210"/>
      <x:c r="S34" s="210"/>
      <x:c r="T34" s="210"/>
      <x:c r="U34" s="210"/>
      <x:c r="V34" s="210"/>
      <x:c r="W34" s="210"/>
      <x:c r="X34" s="210"/>
      <x:c r="Y34" s="210"/>
      <x:c r="Z34" s="210"/>
      <x:c r="AA34" s="210"/>
      <x:c r="AB34" s="210"/>
      <x:c r="AC34" s="210"/>
      <x:c r="AD34" s="210"/>
      <x:c r="AE34" s="210"/>
      <x:c r="AF34" s="210"/>
      <x:c r="AG34" s="210"/>
      <x:c r="AH34" s="210"/>
      <x:c r="AI34" s="210" t="str">
        <x:v>claim_idが同一</x:v>
      </x:c>
      <x:c r="AJ34" s="210"/>
      <x:c r="AK34" s="210"/>
      <x:c r="AL34" s="210"/>
      <x:c r="AM34" s="210"/>
      <x:c r="AN34" s="210"/>
      <x:c r="AO34" s="210"/>
      <x:c r="AP34" s="210"/>
      <x:c r="AQ34" s="210"/>
      <x:c r="AR34" s="210"/>
      <x:c r="AS34" s="210"/>
      <x:c r="AT34" s="210"/>
      <x:c r="AU34" s="210"/>
      <x:c r="AV34" s="210"/>
      <x:c r="AW34" s="210"/>
      <x:c r="AX34" s="210"/>
      <x:c r="AY34" s="2"/>
      <x:c r="AZ34" s="2"/>
    </x:row>
    <x:row r="35" ht="13.5" customHeight="1">
      <x:c r="A35" s="2"/>
      <x:c r="B35" s="210" t="str">
        <x:v>トランザクション</x:v>
      </x:c>
      <x:c r="C35" s="210"/>
      <x:c r="D35" s="210"/>
      <x:c r="E35" s="210"/>
      <x:c r="F35" s="210"/>
      <x:c r="G35" s="210"/>
      <x:c r="H35" s="210"/>
      <x:c r="I35" s="210" t="str">
        <x:v>DB成功・イベント失敗の取りこぼしがない</x:v>
      </x:c>
      <x:c r="J35" s="210"/>
      <x:c r="K35" s="210"/>
      <x:c r="L35" s="210"/>
      <x:c r="M35" s="210"/>
      <x:c r="N35" s="210"/>
      <x:c r="O35" s="210"/>
      <x:c r="P35" s="210"/>
      <x:c r="Q35" s="210"/>
      <x:c r="R35" s="210"/>
      <x:c r="S35" s="210"/>
      <x:c r="T35" s="210"/>
      <x:c r="U35" s="210"/>
      <x:c r="V35" s="210"/>
      <x:c r="W35" s="210"/>
      <x:c r="X35" s="210"/>
      <x:c r="Y35" s="210"/>
      <x:c r="Z35" s="210"/>
      <x:c r="AA35" s="210"/>
      <x:c r="AB35" s="210"/>
      <x:c r="AC35" s="210"/>
      <x:c r="AD35" s="210"/>
      <x:c r="AE35" s="210"/>
      <x:c r="AF35" s="210"/>
      <x:c r="AG35" s="210"/>
      <x:c r="AH35" s="210"/>
      <x:c r="AI35" s="210" t="str">
        <x:v>Outbox再送で最終的に通知</x:v>
      </x:c>
      <x:c r="AJ35" s="210"/>
      <x:c r="AK35" s="210"/>
      <x:c r="AL35" s="210"/>
      <x:c r="AM35" s="210"/>
      <x:c r="AN35" s="210"/>
      <x:c r="AO35" s="210"/>
      <x:c r="AP35" s="210"/>
      <x:c r="AQ35" s="210"/>
      <x:c r="AR35" s="210"/>
      <x:c r="AS35" s="210"/>
      <x:c r="AT35" s="210"/>
      <x:c r="AU35" s="210"/>
      <x:c r="AV35" s="210"/>
      <x:c r="AW35" s="210"/>
      <x:c r="AX35" s="210"/>
      <x:c r="AY35" s="2"/>
      <x:c r="AZ35" s="2"/>
    </x:row>
    <x:row r="36" ht="13.5" customHeight="1">
      <x:c r="A36" s="2"/>
      <x:c r="B36" s="210" t="str">
        <x:v>権限</x:v>
      </x:c>
      <x:c r="C36" s="210"/>
      <x:c r="D36" s="210"/>
      <x:c r="E36" s="210"/>
      <x:c r="F36" s="210"/>
      <x:c r="G36" s="210"/>
      <x:c r="H36" s="210"/>
      <x:c r="I36" s="210" t="str">
        <x:v>申請者が承認APIを実行できない</x:v>
      </x:c>
      <x:c r="J36" s="210"/>
      <x:c r="K36" s="210"/>
      <x:c r="L36" s="210"/>
      <x:c r="M36" s="210"/>
      <x:c r="N36" s="210"/>
      <x:c r="O36" s="210"/>
      <x:c r="P36" s="210"/>
      <x:c r="Q36" s="210"/>
      <x:c r="R36" s="210"/>
      <x:c r="S36" s="210"/>
      <x:c r="T36" s="210"/>
      <x:c r="U36" s="210"/>
      <x:c r="V36" s="210"/>
      <x:c r="W36" s="210"/>
      <x:c r="X36" s="210"/>
      <x:c r="Y36" s="210"/>
      <x:c r="Z36" s="210"/>
      <x:c r="AA36" s="210"/>
      <x:c r="AB36" s="210"/>
      <x:c r="AC36" s="210"/>
      <x:c r="AD36" s="210"/>
      <x:c r="AE36" s="210"/>
      <x:c r="AF36" s="210"/>
      <x:c r="AG36" s="210"/>
      <x:c r="AH36" s="210"/>
      <x:c r="AI36" s="210" t="str">
        <x:v>403、監査ログあり</x:v>
      </x:c>
      <x:c r="AJ36" s="210"/>
      <x:c r="AK36" s="210"/>
      <x:c r="AL36" s="210"/>
      <x:c r="AM36" s="210"/>
      <x:c r="AN36" s="210"/>
      <x:c r="AO36" s="210"/>
      <x:c r="AP36" s="210"/>
      <x:c r="AQ36" s="210"/>
      <x:c r="AR36" s="210"/>
      <x:c r="AS36" s="210"/>
      <x:c r="AT36" s="210"/>
      <x:c r="AU36" s="210"/>
      <x:c r="AV36" s="210"/>
      <x:c r="AW36" s="210"/>
      <x:c r="AX36" s="210"/>
      <x:c r="AY36" s="2"/>
      <x:c r="AZ36" s="2"/>
    </x:row>
    <x:row r="37" ht="13.5" customHeight="1">
      <x:c r="A37" s="2"/>
      <x:c r="B37" s="210" t="str">
        <x:v>監査</x:v>
      </x:c>
      <x:c r="C37" s="210"/>
      <x:c r="D37" s="210"/>
      <x:c r="E37" s="210"/>
      <x:c r="F37" s="210"/>
      <x:c r="G37" s="210"/>
      <x:c r="H37" s="210"/>
      <x:c r="I37" s="210" t="str">
        <x:v>全状態変更に主体・時刻・前後値がある</x:v>
      </x:c>
      <x:c r="J37" s="210"/>
      <x:c r="K37" s="210"/>
      <x:c r="L37" s="210"/>
      <x:c r="M37" s="210"/>
      <x:c r="N37" s="210"/>
      <x:c r="O37" s="210"/>
      <x:c r="P37" s="210"/>
      <x:c r="Q37" s="210"/>
      <x:c r="R37" s="210"/>
      <x:c r="S37" s="210"/>
      <x:c r="T37" s="210"/>
      <x:c r="U37" s="210"/>
      <x:c r="V37" s="210"/>
      <x:c r="W37" s="210"/>
      <x:c r="X37" s="210"/>
      <x:c r="Y37" s="210"/>
      <x:c r="Z37" s="210"/>
      <x:c r="AA37" s="210"/>
      <x:c r="AB37" s="210"/>
      <x:c r="AC37" s="210"/>
      <x:c r="AD37" s="210"/>
      <x:c r="AE37" s="210"/>
      <x:c r="AF37" s="210"/>
      <x:c r="AG37" s="210"/>
      <x:c r="AH37" s="210"/>
      <x:c r="AI37" s="210" t="str">
        <x:v>欠落0件</x:v>
      </x:c>
      <x:c r="AJ37" s="210"/>
      <x:c r="AK37" s="210"/>
      <x:c r="AL37" s="210"/>
      <x:c r="AM37" s="210"/>
      <x:c r="AN37" s="210"/>
      <x:c r="AO37" s="210"/>
      <x:c r="AP37" s="210"/>
      <x:c r="AQ37" s="210"/>
      <x:c r="AR37" s="210"/>
      <x:c r="AS37" s="210"/>
      <x:c r="AT37" s="210"/>
      <x:c r="AU37" s="210"/>
      <x:c r="AV37" s="210"/>
      <x:c r="AW37" s="210"/>
      <x:c r="AX37" s="210"/>
      <x:c r="AY37" s="2"/>
      <x:c r="AZ37" s="2"/>
    </x:row>
    <x:row r="38" ht="13.5" customHeight="1">
      <x:c r="A38" s="2"/>
      <x:c r="B38" s="210" t="str">
        <x:v>性能</x:v>
      </x:c>
      <x:c r="C38" s="210"/>
      <x:c r="D38" s="210"/>
      <x:c r="E38" s="210"/>
      <x:c r="F38" s="210"/>
      <x:c r="G38" s="210"/>
      <x:c r="H38" s="210"/>
      <x:c r="I38" s="210" t="str">
        <x:v>通常申請のAPI応答</x:v>
      </x:c>
      <x:c r="J38" s="210"/>
      <x:c r="K38" s="210"/>
      <x:c r="L38" s="210"/>
      <x:c r="M38" s="210"/>
      <x:c r="N38" s="210"/>
      <x:c r="O38" s="210"/>
      <x:c r="P38" s="210"/>
      <x:c r="Q38" s="210"/>
      <x:c r="R38" s="210"/>
      <x:c r="S38" s="210"/>
      <x:c r="T38" s="210"/>
      <x:c r="U38" s="210"/>
      <x:c r="V38" s="210"/>
      <x:c r="W38" s="210"/>
      <x:c r="X38" s="210"/>
      <x:c r="Y38" s="210"/>
      <x:c r="Z38" s="210"/>
      <x:c r="AA38" s="210"/>
      <x:c r="AB38" s="210"/>
      <x:c r="AC38" s="210"/>
      <x:c r="AD38" s="210"/>
      <x:c r="AE38" s="210"/>
      <x:c r="AF38" s="210"/>
      <x:c r="AG38" s="210"/>
      <x:c r="AH38" s="210"/>
      <x:c r="AI38" s="210" t="str">
        <x:v>p95 1.0秒以下（添付アップロード除く）</x:v>
      </x:c>
      <x:c r="AJ38" s="210"/>
      <x:c r="AK38" s="210"/>
      <x:c r="AL38" s="210"/>
      <x:c r="AM38" s="210"/>
      <x:c r="AN38" s="210"/>
      <x:c r="AO38" s="210"/>
      <x:c r="AP38" s="210"/>
      <x:c r="AQ38" s="210"/>
      <x:c r="AR38" s="210"/>
      <x:c r="AS38" s="210"/>
      <x:c r="AT38" s="210"/>
      <x:c r="AU38" s="210"/>
      <x:c r="AV38" s="210"/>
      <x:c r="AW38" s="210"/>
      <x:c r="AX38" s="210"/>
      <x:c r="AY38" s="2"/>
      <x:c r="AZ38" s="2"/>
    </x:row>
    <x:row r="39" ht="13.5" customHeight="1">
      <x:c r="A39" s="2"/>
      <x:c r="B39" s="210" t="str">
        <x:v>障害</x:v>
      </x:c>
      <x:c r="C39" s="210"/>
      <x:c r="D39" s="210"/>
      <x:c r="E39" s="210"/>
      <x:c r="F39" s="210"/>
      <x:c r="G39" s="210"/>
      <x:c r="H39" s="210"/>
      <x:c r="I39" s="210" t="str">
        <x:v>会計I/F停止時の再送</x:v>
      </x:c>
      <x:c r="J39" s="210"/>
      <x:c r="K39" s="210"/>
      <x:c r="L39" s="210"/>
      <x:c r="M39" s="210"/>
      <x:c r="N39" s="210"/>
      <x:c r="O39" s="210"/>
      <x:c r="P39" s="210"/>
      <x:c r="Q39" s="210"/>
      <x:c r="R39" s="210"/>
      <x:c r="S39" s="210"/>
      <x:c r="T39" s="210"/>
      <x:c r="U39" s="210"/>
      <x:c r="V39" s="210"/>
      <x:c r="W39" s="210"/>
      <x:c r="X39" s="210"/>
      <x:c r="Y39" s="210"/>
      <x:c r="Z39" s="210"/>
      <x:c r="AA39" s="210"/>
      <x:c r="AB39" s="210"/>
      <x:c r="AC39" s="210"/>
      <x:c r="AD39" s="210"/>
      <x:c r="AE39" s="210"/>
      <x:c r="AF39" s="210"/>
      <x:c r="AG39" s="210"/>
      <x:c r="AH39" s="210"/>
      <x:c r="AI39" s="210" t="str">
        <x:v>最大5回、以降DLQとアラート</x:v>
      </x:c>
      <x:c r="AJ39" s="210"/>
      <x:c r="AK39" s="210"/>
      <x:c r="AL39" s="210"/>
      <x:c r="AM39" s="210"/>
      <x:c r="AN39" s="210"/>
      <x:c r="AO39" s="210"/>
      <x:c r="AP39" s="210"/>
      <x:c r="AQ39" s="210"/>
      <x:c r="AR39" s="210"/>
      <x:c r="AS39" s="210"/>
      <x:c r="AT39" s="210"/>
      <x:c r="AU39" s="210"/>
      <x:c r="AV39" s="210"/>
      <x:c r="AW39" s="210"/>
      <x:c r="AX39" s="210"/>
      <x:c r="AY39" s="2"/>
      <x:c r="AZ39" s="2"/>
    </x:row>
    <x:row r="40" ht="13.5" customHeight="1">
      <x:c r="A40" s="2"/>
      <x:c r="B40" s="210" t="str">
        <x:v>個人情報</x:v>
      </x:c>
      <x:c r="C40" s="210"/>
      <x:c r="D40" s="210"/>
      <x:c r="E40" s="210"/>
      <x:c r="F40" s="210"/>
      <x:c r="G40" s="210"/>
      <x:c r="H40" s="210"/>
      <x:c r="I40" s="210" t="str">
        <x:v>ログに摘要・領収書URLを出さない</x:v>
      </x:c>
      <x:c r="J40" s="210"/>
      <x:c r="K40" s="210"/>
      <x:c r="L40" s="210"/>
      <x:c r="M40" s="210"/>
      <x:c r="N40" s="210"/>
      <x:c r="O40" s="210"/>
      <x:c r="P40" s="210"/>
      <x:c r="Q40" s="210"/>
      <x:c r="R40" s="210"/>
      <x:c r="S40" s="210"/>
      <x:c r="T40" s="210"/>
      <x:c r="U40" s="210"/>
      <x:c r="V40" s="210"/>
      <x:c r="W40" s="210"/>
      <x:c r="X40" s="210"/>
      <x:c r="Y40" s="210"/>
      <x:c r="Z40" s="210"/>
      <x:c r="AA40" s="210"/>
      <x:c r="AB40" s="210"/>
      <x:c r="AC40" s="210"/>
      <x:c r="AD40" s="210"/>
      <x:c r="AE40" s="210"/>
      <x:c r="AF40" s="210"/>
      <x:c r="AG40" s="210"/>
      <x:c r="AH40" s="210"/>
      <x:c r="AI40" s="210" t="str">
        <x:v>マスキング検査で検出0件</x:v>
      </x:c>
      <x:c r="AJ40" s="210"/>
      <x:c r="AK40" s="210"/>
      <x:c r="AL40" s="210"/>
      <x:c r="AM40" s="210"/>
      <x:c r="AN40" s="210"/>
      <x:c r="AO40" s="210"/>
      <x:c r="AP40" s="210"/>
      <x:c r="AQ40" s="210"/>
      <x:c r="AR40" s="210"/>
      <x:c r="AS40" s="210"/>
      <x:c r="AT40" s="210"/>
      <x:c r="AU40" s="210"/>
      <x:c r="AV40" s="210"/>
      <x:c r="AW40" s="210"/>
      <x:c r="AX40" s="210"/>
      <x:c r="AY40" s="2"/>
      <x:c r="AZ40" s="2"/>
    </x:row>
    <x:row r="41" ht="13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 ht="13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 ht="13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 ht="13.5" customHeight="1">
      <x:c r="A44" s="2"/>
      <x:c r="B44" s="77" t="str">
        <x:v>7.4 試験実施条件・証跡</x:v>
      </x:c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78"/>
      <x:c r="U44" s="78"/>
      <x:c r="V44" s="78"/>
      <x:c r="W44" s="78"/>
      <x:c r="X44" s="78"/>
      <x:c r="Y44" s="78"/>
      <x:c r="Z44" s="78"/>
      <x:c r="AA44" s="78"/>
      <x:c r="AB44" s="78"/>
      <x:c r="AC44" s="78"/>
      <x:c r="AD44" s="78"/>
      <x:c r="AE44" s="78"/>
      <x:c r="AF44" s="78"/>
      <x:c r="AG44" s="78"/>
      <x:c r="AH44" s="78"/>
      <x:c r="AI44" s="78"/>
      <x:c r="AJ44" s="78"/>
      <x:c r="AK44" s="78"/>
      <x:c r="AL44" s="78"/>
      <x:c r="AM44" s="78"/>
      <x:c r="AN44" s="78"/>
      <x:c r="AO44" s="78"/>
      <x:c r="AP44" s="78"/>
      <x:c r="AQ44" s="78"/>
      <x:c r="AR44" s="78"/>
      <x:c r="AS44" s="78"/>
      <x:c r="AT44" s="78"/>
      <x:c r="AU44" s="78"/>
      <x:c r="AV44" s="78"/>
      <x:c r="AW44" s="78"/>
      <x:c r="AX44" s="79"/>
      <x:c r="AY44" s="2"/>
      <x:c r="AZ44" s="2"/>
    </x:row>
    <x:row r="45" ht="13.5" customHeight="1">
      <x:c r="A45" s="2"/>
      <x:c r="B45" s="80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  <x:c r="AA45" s="81"/>
      <x:c r="AB45" s="81"/>
      <x:c r="AC45" s="81"/>
      <x:c r="AD45" s="81"/>
      <x:c r="AE45" s="81"/>
      <x:c r="AF45" s="81"/>
      <x:c r="AG45" s="81"/>
      <x:c r="AH45" s="81"/>
      <x:c r="AI45" s="81"/>
      <x:c r="AJ45" s="81"/>
      <x:c r="AK45" s="81"/>
      <x:c r="AL45" s="81"/>
      <x:c r="AM45" s="81"/>
      <x:c r="AN45" s="81"/>
      <x:c r="AO45" s="81"/>
      <x:c r="AP45" s="81"/>
      <x:c r="AQ45" s="81"/>
      <x:c r="AR45" s="81"/>
      <x:c r="AS45" s="81"/>
      <x:c r="AT45" s="81"/>
      <x:c r="AU45" s="81"/>
      <x:c r="AV45" s="81"/>
      <x:c r="AW45" s="81"/>
      <x:c r="AX45" s="82"/>
      <x:c r="AY45" s="2"/>
      <x:c r="AZ45" s="2"/>
    </x:row>
    <x:row r="46" ht="13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 ht="13.5" customHeight="1">
      <x:c r="A47" s="2"/>
      <x:c r="B47" s="127" t="str">
        <x:v>項目</x:v>
      </x:c>
      <x:c r="C47" s="127"/>
      <x:c r="D47" s="127"/>
      <x:c r="E47" s="127"/>
      <x:c r="F47" s="127"/>
      <x:c r="G47" s="127"/>
      <x:c r="H47" s="127"/>
      <x:c r="I47" s="127"/>
      <x:c r="J47" s="127" t="str">
        <x:v>設定値</x:v>
      </x:c>
      <x:c r="K47" s="127"/>
      <x:c r="L47" s="127"/>
      <x:c r="M47" s="127"/>
      <x:c r="N47" s="127"/>
      <x:c r="O47" s="127"/>
      <x:c r="P47" s="127"/>
      <x:c r="Q47" s="127"/>
      <x:c r="R47" s="127"/>
      <x:c r="S47" s="127"/>
      <x:c r="T47" s="127"/>
      <x:c r="U47" s="127"/>
      <x:c r="V47" s="127"/>
      <x:c r="W47" s="127" t="str">
        <x:v>確認方法</x:v>
      </x:c>
      <x:c r="X47" s="127"/>
      <x:c r="Y47" s="127"/>
      <x:c r="Z47" s="127"/>
      <x:c r="AA47" s="127"/>
      <x:c r="AB47" s="127"/>
      <x:c r="AC47" s="127"/>
      <x:c r="AD47" s="127"/>
      <x:c r="AE47" s="127"/>
      <x:c r="AF47" s="127"/>
      <x:c r="AG47" s="127"/>
      <x:c r="AH47" s="127"/>
      <x:c r="AI47" s="127" t="str">
        <x:v>担当</x:v>
      </x:c>
      <x:c r="AJ47" s="127"/>
      <x:c r="AK47" s="127"/>
      <x:c r="AL47" s="127"/>
      <x:c r="AM47" s="127"/>
      <x:c r="AN47" s="127"/>
      <x:c r="AO47" s="127"/>
      <x:c r="AP47" s="127"/>
      <x:c r="AQ47" s="127" t="str">
        <x:v>証跡</x:v>
      </x:c>
      <x:c r="AR47" s="127"/>
      <x:c r="AS47" s="127"/>
      <x:c r="AT47" s="127"/>
      <x:c r="AU47" s="127"/>
      <x:c r="AV47" s="127"/>
      <x:c r="AW47" s="127"/>
      <x:c r="AX47" s="127"/>
      <x:c r="AY47" s="2"/>
      <x:c r="AZ47" s="2"/>
    </x:row>
    <x:row r="48" ht="13.5" customHeight="1">
      <x:c r="A48" s="2"/>
      <x:c r="B48" s="210" t="str">
        <x:v>環境</x:v>
      </x:c>
      <x:c r="C48" s="210"/>
      <x:c r="D48" s="210"/>
      <x:c r="E48" s="210"/>
      <x:c r="F48" s="210"/>
      <x:c r="G48" s="210"/>
      <x:c r="H48" s="210"/>
      <x:c r="I48" s="210"/>
      <x:c r="J48" s="210" t="str">
        <x:v>stg / build 1.2.0-rc3</x:v>
      </x:c>
      <x:c r="K48" s="210"/>
      <x:c r="L48" s="210"/>
      <x:c r="M48" s="210"/>
      <x:c r="N48" s="210"/>
      <x:c r="O48" s="210"/>
      <x:c r="P48" s="210"/>
      <x:c r="Q48" s="210"/>
      <x:c r="R48" s="210"/>
      <x:c r="S48" s="210"/>
      <x:c r="T48" s="210"/>
      <x:c r="U48" s="210"/>
      <x:c r="V48" s="210"/>
      <x:c r="W48" s="210" t="str">
        <x:v>デプロイ情報を固定</x:v>
      </x:c>
      <x:c r="X48" s="210"/>
      <x:c r="Y48" s="210"/>
      <x:c r="Z48" s="210"/>
      <x:c r="AA48" s="210"/>
      <x:c r="AB48" s="210"/>
      <x:c r="AC48" s="210"/>
      <x:c r="AD48" s="210"/>
      <x:c r="AE48" s="210"/>
      <x:c r="AF48" s="210"/>
      <x:c r="AG48" s="210"/>
      <x:c r="AH48" s="210"/>
      <x:c r="AI48" s="210" t="str">
        <x:v>試験担当</x:v>
      </x:c>
      <x:c r="AJ48" s="210"/>
      <x:c r="AK48" s="210"/>
      <x:c r="AL48" s="210"/>
      <x:c r="AM48" s="210"/>
      <x:c r="AN48" s="210"/>
      <x:c r="AO48" s="210"/>
      <x:c r="AP48" s="210"/>
      <x:c r="AQ48" s="210" t="str">
        <x:v>EV-ENV-01</x:v>
      </x:c>
      <x:c r="AR48" s="210"/>
      <x:c r="AS48" s="210"/>
      <x:c r="AT48" s="210"/>
      <x:c r="AU48" s="210"/>
      <x:c r="AV48" s="210"/>
      <x:c r="AW48" s="210"/>
      <x:c r="AX48" s="210"/>
      <x:c r="AY48" s="2"/>
      <x:c r="AZ48" s="2"/>
    </x:row>
    <x:row r="49" ht="13.5" customHeight="1">
      <x:c r="A49" s="2"/>
      <x:c r="B49" s="210"/>
      <x:c r="C49" s="210"/>
      <x:c r="D49" s="210"/>
      <x:c r="E49" s="210"/>
      <x:c r="F49" s="210"/>
      <x:c r="G49" s="210"/>
      <x:c r="H49" s="210"/>
      <x:c r="I49" s="210"/>
      <x:c r="J49" s="210"/>
      <x:c r="K49" s="210"/>
      <x:c r="L49" s="210"/>
      <x:c r="M49" s="210"/>
      <x:c r="N49" s="210"/>
      <x:c r="O49" s="210"/>
      <x:c r="P49" s="210"/>
      <x:c r="Q49" s="210"/>
      <x:c r="R49" s="210"/>
      <x:c r="S49" s="210"/>
      <x:c r="T49" s="210"/>
      <x:c r="U49" s="210"/>
      <x:c r="V49" s="210"/>
      <x:c r="W49" s="210"/>
      <x:c r="X49" s="210"/>
      <x:c r="Y49" s="210"/>
      <x:c r="Z49" s="210"/>
      <x:c r="AA49" s="210"/>
      <x:c r="AB49" s="210"/>
      <x:c r="AC49" s="210"/>
      <x:c r="AD49" s="210"/>
      <x:c r="AE49" s="210"/>
      <x:c r="AF49" s="210"/>
      <x:c r="AG49" s="210"/>
      <x:c r="AH49" s="210"/>
      <x:c r="AI49" s="210"/>
      <x:c r="AJ49" s="210"/>
      <x:c r="AK49" s="210"/>
      <x:c r="AL49" s="210"/>
      <x:c r="AM49" s="210"/>
      <x:c r="AN49" s="210"/>
      <x:c r="AO49" s="210"/>
      <x:c r="AP49" s="210"/>
      <x:c r="AQ49" s="210"/>
      <x:c r="AR49" s="210"/>
      <x:c r="AS49" s="210"/>
      <x:c r="AT49" s="210"/>
      <x:c r="AU49" s="210"/>
      <x:c r="AV49" s="210"/>
      <x:c r="AW49" s="210"/>
      <x:c r="AX49" s="210"/>
      <x:c r="AY49" s="2"/>
      <x:c r="AZ49" s="2"/>
    </x:row>
    <x:row r="50" ht="13.5" customHeight="1">
      <x:c r="A50" s="2"/>
      <x:c r="B50" s="210" t="str">
        <x:v>基準時刻</x:v>
      </x:c>
      <x:c r="C50" s="210"/>
      <x:c r="D50" s="210"/>
      <x:c r="E50" s="210"/>
      <x:c r="F50" s="210"/>
      <x:c r="G50" s="210"/>
      <x:c r="H50" s="210"/>
      <x:c r="I50" s="210"/>
      <x:c r="J50" s="210" t="str">
        <x:v>Asia/Tokyo / NTP同期</x:v>
      </x:c>
      <x:c r="K50" s="210"/>
      <x:c r="L50" s="210"/>
      <x:c r="M50" s="210"/>
      <x:c r="N50" s="210"/>
      <x:c r="O50" s="210"/>
      <x:c r="P50" s="210"/>
      <x:c r="Q50" s="210"/>
      <x:c r="R50" s="210"/>
      <x:c r="S50" s="210"/>
      <x:c r="T50" s="210"/>
      <x:c r="U50" s="210"/>
      <x:c r="V50" s="210"/>
      <x:c r="W50" s="210" t="str">
        <x:v>全ノード差分100ms未満</x:v>
      </x:c>
      <x:c r="X50" s="210"/>
      <x:c r="Y50" s="210"/>
      <x:c r="Z50" s="210"/>
      <x:c r="AA50" s="210"/>
      <x:c r="AB50" s="210"/>
      <x:c r="AC50" s="210"/>
      <x:c r="AD50" s="210"/>
      <x:c r="AE50" s="210"/>
      <x:c r="AF50" s="210"/>
      <x:c r="AG50" s="210"/>
      <x:c r="AH50" s="210"/>
      <x:c r="AI50" s="210" t="str">
        <x:v>基盤担当</x:v>
      </x:c>
      <x:c r="AJ50" s="210"/>
      <x:c r="AK50" s="210"/>
      <x:c r="AL50" s="210"/>
      <x:c r="AM50" s="210"/>
      <x:c r="AN50" s="210"/>
      <x:c r="AO50" s="210"/>
      <x:c r="AP50" s="210"/>
      <x:c r="AQ50" s="210" t="str">
        <x:v>EV-TIME-01</x:v>
      </x:c>
      <x:c r="AR50" s="210"/>
      <x:c r="AS50" s="210"/>
      <x:c r="AT50" s="210"/>
      <x:c r="AU50" s="210"/>
      <x:c r="AV50" s="210"/>
      <x:c r="AW50" s="210"/>
      <x:c r="AX50" s="210"/>
      <x:c r="AY50" s="2"/>
      <x:c r="AZ50" s="2"/>
    </x:row>
    <x:row r="51" ht="13.5" customHeight="1">
      <x:c r="A51" s="2"/>
      <x:c r="B51" s="210"/>
      <x:c r="C51" s="210"/>
      <x:c r="D51" s="210"/>
      <x:c r="E51" s="210"/>
      <x:c r="F51" s="210"/>
      <x:c r="G51" s="210"/>
      <x:c r="H51" s="210"/>
      <x:c r="I51" s="210"/>
      <x:c r="J51" s="210"/>
      <x:c r="K51" s="210"/>
      <x:c r="L51" s="210"/>
      <x:c r="M51" s="210"/>
      <x:c r="N51" s="210"/>
      <x:c r="O51" s="210"/>
      <x:c r="P51" s="210"/>
      <x:c r="Q51" s="210"/>
      <x:c r="R51" s="210"/>
      <x:c r="S51" s="210"/>
      <x:c r="T51" s="210"/>
      <x:c r="U51" s="210"/>
      <x:c r="V51" s="210"/>
      <x:c r="W51" s="210"/>
      <x:c r="X51" s="210"/>
      <x:c r="Y51" s="210"/>
      <x:c r="Z51" s="210"/>
      <x:c r="AA51" s="210"/>
      <x:c r="AB51" s="210"/>
      <x:c r="AC51" s="210"/>
      <x:c r="AD51" s="210"/>
      <x:c r="AE51" s="210"/>
      <x:c r="AF51" s="210"/>
      <x:c r="AG51" s="210"/>
      <x:c r="AH51" s="210"/>
      <x:c r="AI51" s="210"/>
      <x:c r="AJ51" s="210"/>
      <x:c r="AK51" s="210"/>
      <x:c r="AL51" s="210"/>
      <x:c r="AM51" s="210"/>
      <x:c r="AN51" s="210"/>
      <x:c r="AO51" s="210"/>
      <x:c r="AP51" s="210"/>
      <x:c r="AQ51" s="210"/>
      <x:c r="AR51" s="210"/>
      <x:c r="AS51" s="210"/>
      <x:c r="AT51" s="210"/>
      <x:c r="AU51" s="210"/>
      <x:c r="AV51" s="210"/>
      <x:c r="AW51" s="210"/>
      <x:c r="AX51" s="210"/>
      <x:c r="AY51" s="2"/>
      <x:c r="AZ51" s="2"/>
    </x:row>
    <x:row r="52" ht="13.5" customHeight="1">
      <x:c r="A52" s="2"/>
      <x:c r="B52" s="210" t="str">
        <x:v>データ</x:v>
      </x:c>
      <x:c r="C52" s="210"/>
      <x:c r="D52" s="210"/>
      <x:c r="E52" s="210"/>
      <x:c r="F52" s="210"/>
      <x:c r="G52" s="210"/>
      <x:c r="H52" s="210"/>
      <x:c r="I52" s="210"/>
      <x:c r="J52" s="210" t="str">
        <x:v>申請者10名・承認者3名</x:v>
      </x:c>
      <x:c r="K52" s="210"/>
      <x:c r="L52" s="210"/>
      <x:c r="M52" s="210"/>
      <x:c r="N52" s="210"/>
      <x:c r="O52" s="210"/>
      <x:c r="P52" s="210"/>
      <x:c r="Q52" s="210"/>
      <x:c r="R52" s="210"/>
      <x:c r="S52" s="210"/>
      <x:c r="T52" s="210"/>
      <x:c r="U52" s="210"/>
      <x:c r="V52" s="210"/>
      <x:c r="W52" s="210" t="str">
        <x:v>初期化SQLのchecksum一致</x:v>
      </x:c>
      <x:c r="X52" s="210"/>
      <x:c r="Y52" s="210"/>
      <x:c r="Z52" s="210"/>
      <x:c r="AA52" s="210"/>
      <x:c r="AB52" s="210"/>
      <x:c r="AC52" s="210"/>
      <x:c r="AD52" s="210"/>
      <x:c r="AE52" s="210"/>
      <x:c r="AF52" s="210"/>
      <x:c r="AG52" s="210"/>
      <x:c r="AH52" s="210"/>
      <x:c r="AI52" s="210" t="str">
        <x:v>DB担当</x:v>
      </x:c>
      <x:c r="AJ52" s="210"/>
      <x:c r="AK52" s="210"/>
      <x:c r="AL52" s="210"/>
      <x:c r="AM52" s="210"/>
      <x:c r="AN52" s="210"/>
      <x:c r="AO52" s="210"/>
      <x:c r="AP52" s="210"/>
      <x:c r="AQ52" s="210" t="str">
        <x:v>EV-DATA-01</x:v>
      </x:c>
      <x:c r="AR52" s="210"/>
      <x:c r="AS52" s="210"/>
      <x:c r="AT52" s="210"/>
      <x:c r="AU52" s="210"/>
      <x:c r="AV52" s="210"/>
      <x:c r="AW52" s="210"/>
      <x:c r="AX52" s="210"/>
      <x:c r="AY52" s="2"/>
      <x:c r="AZ52" s="2"/>
    </x:row>
    <x:row r="53" ht="13.5" customHeight="1">
      <x:c r="A53" s="2"/>
      <x:c r="B53" s="210"/>
      <x:c r="C53" s="210"/>
      <x:c r="D53" s="210"/>
      <x:c r="E53" s="210"/>
      <x:c r="F53" s="210"/>
      <x:c r="G53" s="210"/>
      <x:c r="H53" s="210"/>
      <x:c r="I53" s="210"/>
      <x:c r="J53" s="210"/>
      <x:c r="K53" s="210"/>
      <x:c r="L53" s="210"/>
      <x:c r="M53" s="210"/>
      <x:c r="N53" s="210"/>
      <x:c r="O53" s="210"/>
      <x:c r="P53" s="210"/>
      <x:c r="Q53" s="210"/>
      <x:c r="R53" s="210"/>
      <x:c r="S53" s="210"/>
      <x:c r="T53" s="210"/>
      <x:c r="U53" s="210"/>
      <x:c r="V53" s="210"/>
      <x:c r="W53" s="210"/>
      <x:c r="X53" s="210"/>
      <x:c r="Y53" s="210"/>
      <x:c r="Z53" s="210"/>
      <x:c r="AA53" s="210"/>
      <x:c r="AB53" s="210"/>
      <x:c r="AC53" s="210"/>
      <x:c r="AD53" s="210"/>
      <x:c r="AE53" s="210"/>
      <x:c r="AF53" s="210"/>
      <x:c r="AG53" s="210"/>
      <x:c r="AH53" s="210"/>
      <x:c r="AI53" s="210"/>
      <x:c r="AJ53" s="210"/>
      <x:c r="AK53" s="210"/>
      <x:c r="AL53" s="210"/>
      <x:c r="AM53" s="210"/>
      <x:c r="AN53" s="210"/>
      <x:c r="AO53" s="210"/>
      <x:c r="AP53" s="210"/>
      <x:c r="AQ53" s="210"/>
      <x:c r="AR53" s="210"/>
      <x:c r="AS53" s="210"/>
      <x:c r="AT53" s="210"/>
      <x:c r="AU53" s="210"/>
      <x:c r="AV53" s="210"/>
      <x:c r="AW53" s="210"/>
      <x:c r="AX53" s="210"/>
      <x:c r="AY53" s="2"/>
      <x:c r="AZ53" s="2"/>
    </x:row>
    <x:row r="54" ht="13.5" customHeight="1">
      <x:c r="A54" s="2"/>
      <x:c r="B54" s="210" t="str">
        <x:v>障害注入</x:v>
      </x:c>
      <x:c r="C54" s="210"/>
      <x:c r="D54" s="210"/>
      <x:c r="E54" s="210"/>
      <x:c r="F54" s="210"/>
      <x:c r="G54" s="210"/>
      <x:c r="H54" s="210"/>
      <x:c r="I54" s="210"/>
      <x:c r="J54" s="210" t="str">
        <x:v>Event Bus / 会計IFを模擬停止</x:v>
      </x:c>
      <x:c r="K54" s="210"/>
      <x:c r="L54" s="210"/>
      <x:c r="M54" s="210"/>
      <x:c r="N54" s="210"/>
      <x:c r="O54" s="210"/>
      <x:c r="P54" s="210"/>
      <x:c r="Q54" s="210"/>
      <x:c r="R54" s="210"/>
      <x:c r="S54" s="210"/>
      <x:c r="T54" s="210"/>
      <x:c r="U54" s="210"/>
      <x:c r="V54" s="210"/>
      <x:c r="W54" s="210" t="str">
        <x:v>開始・終了時刻を監査ログと照合</x:v>
      </x:c>
      <x:c r="X54" s="210"/>
      <x:c r="Y54" s="210"/>
      <x:c r="Z54" s="210"/>
      <x:c r="AA54" s="210"/>
      <x:c r="AB54" s="210"/>
      <x:c r="AC54" s="210"/>
      <x:c r="AD54" s="210"/>
      <x:c r="AE54" s="210"/>
      <x:c r="AF54" s="210"/>
      <x:c r="AG54" s="210"/>
      <x:c r="AH54" s="210"/>
      <x:c r="AI54" s="210" t="str">
        <x:v>運用担当</x:v>
      </x:c>
      <x:c r="AJ54" s="210"/>
      <x:c r="AK54" s="210"/>
      <x:c r="AL54" s="210"/>
      <x:c r="AM54" s="210"/>
      <x:c r="AN54" s="210"/>
      <x:c r="AO54" s="210"/>
      <x:c r="AP54" s="210"/>
      <x:c r="AQ54" s="210" t="str">
        <x:v>EV-CHAOS-01</x:v>
      </x:c>
      <x:c r="AR54" s="210"/>
      <x:c r="AS54" s="210"/>
      <x:c r="AT54" s="210"/>
      <x:c r="AU54" s="210"/>
      <x:c r="AV54" s="210"/>
      <x:c r="AW54" s="210"/>
      <x:c r="AX54" s="210"/>
      <x:c r="AY54" s="2"/>
      <x:c r="AZ54" s="2"/>
    </x:row>
    <x:row r="55" ht="13.5" customHeight="1">
      <x:c r="A55" s="2"/>
      <x:c r="B55" s="210"/>
      <x:c r="C55" s="210"/>
      <x:c r="D55" s="210"/>
      <x:c r="E55" s="210"/>
      <x:c r="F55" s="210"/>
      <x:c r="G55" s="210"/>
      <x:c r="H55" s="210"/>
      <x:c r="I55" s="210"/>
      <x:c r="J55" s="210"/>
      <x:c r="K55" s="210"/>
      <x:c r="L55" s="210"/>
      <x:c r="M55" s="210"/>
      <x:c r="N55" s="210"/>
      <x:c r="O55" s="210"/>
      <x:c r="P55" s="210"/>
      <x:c r="Q55" s="210"/>
      <x:c r="R55" s="210"/>
      <x:c r="S55" s="210"/>
      <x:c r="T55" s="210"/>
      <x:c r="U55" s="210"/>
      <x:c r="V55" s="210"/>
      <x:c r="W55" s="210"/>
      <x:c r="X55" s="210"/>
      <x:c r="Y55" s="210"/>
      <x:c r="Z55" s="210"/>
      <x:c r="AA55" s="210"/>
      <x:c r="AB55" s="210"/>
      <x:c r="AC55" s="210"/>
      <x:c r="AD55" s="210"/>
      <x:c r="AE55" s="210"/>
      <x:c r="AF55" s="210"/>
      <x:c r="AG55" s="210"/>
      <x:c r="AH55" s="210"/>
      <x:c r="AI55" s="210"/>
      <x:c r="AJ55" s="210"/>
      <x:c r="AK55" s="210"/>
      <x:c r="AL55" s="210"/>
      <x:c r="AM55" s="210"/>
      <x:c r="AN55" s="210"/>
      <x:c r="AO55" s="210"/>
      <x:c r="AP55" s="210"/>
      <x:c r="AQ55" s="210"/>
      <x:c r="AR55" s="210"/>
      <x:c r="AS55" s="210"/>
      <x:c r="AT55" s="210"/>
      <x:c r="AU55" s="210"/>
      <x:c r="AV55" s="210"/>
      <x:c r="AW55" s="210"/>
      <x:c r="AX55" s="210"/>
      <x:c r="AY55" s="2"/>
      <x:c r="AZ55" s="2"/>
    </x:row>
    <x:row r="56" ht="13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 ht="13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 ht="13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 ht="13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 ht="13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 ht="13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 ht="13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 ht="13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 ht="13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 ht="13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 ht="13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 ht="13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 ht="13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 ht="13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 ht="13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 ht="13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 ht="13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 ht="13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 ht="13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 ht="13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 ht="13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 ht="13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 ht="13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 ht="13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 ht="13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</x:sheetData>
  <x:mergeCells>
    <x:mergeCell ref="A1:AZ2"/>
    <x:mergeCell ref="A3:AZ3"/>
    <x:mergeCell ref="A4:L4"/>
    <x:mergeCell ref="M4:R4"/>
    <x:mergeCell ref="S4:AE4"/>
    <x:mergeCell ref="AF4:AQ4"/>
    <x:mergeCell ref="AR4:AZ4"/>
    <x:mergeCell ref="B5:AX6"/>
    <x:mergeCell ref="A8:E8"/>
    <x:mergeCell ref="F8:N8"/>
    <x:mergeCell ref="O8:V8"/>
    <x:mergeCell ref="W8:Z8"/>
    <x:mergeCell ref="AA8:AF8"/>
    <x:mergeCell ref="AG8:AL8"/>
    <x:mergeCell ref="AM8:AP8"/>
    <x:mergeCell ref="AQ8:AZ8"/>
    <x:mergeCell ref="A9:E9"/>
    <x:mergeCell ref="F9:N9"/>
    <x:mergeCell ref="O9:V9"/>
    <x:mergeCell ref="W9:Z9"/>
    <x:mergeCell ref="AA9:AF9"/>
    <x:mergeCell ref="AG9:AL9"/>
    <x:mergeCell ref="AM9:AP9"/>
    <x:mergeCell ref="AQ9:AZ9"/>
    <x:mergeCell ref="A10:E10"/>
    <x:mergeCell ref="F10:N10"/>
    <x:mergeCell ref="O10:V10"/>
    <x:mergeCell ref="W10:Z10"/>
    <x:mergeCell ref="AA10:AF10"/>
    <x:mergeCell ref="AG10:AL10"/>
    <x:mergeCell ref="AM10:AP10"/>
    <x:mergeCell ref="AQ10:AZ10"/>
    <x:mergeCell ref="A11:E11"/>
    <x:mergeCell ref="F11:N11"/>
    <x:mergeCell ref="O11:V11"/>
    <x:mergeCell ref="W11:Z11"/>
    <x:mergeCell ref="AA11:AF11"/>
    <x:mergeCell ref="AG11:AL11"/>
    <x:mergeCell ref="AM11:AP11"/>
    <x:mergeCell ref="AQ11:AZ11"/>
    <x:mergeCell ref="A12:E12"/>
    <x:mergeCell ref="F12:N12"/>
    <x:mergeCell ref="O12:V12"/>
    <x:mergeCell ref="W12:Z12"/>
    <x:mergeCell ref="AA12:AF12"/>
    <x:mergeCell ref="AG12:AL12"/>
    <x:mergeCell ref="AM12:AP12"/>
    <x:mergeCell ref="AQ12:AZ12"/>
    <x:mergeCell ref="A13:E13"/>
    <x:mergeCell ref="F13:N13"/>
    <x:mergeCell ref="O13:V13"/>
    <x:mergeCell ref="W13:Z13"/>
    <x:mergeCell ref="AA13:AF13"/>
    <x:mergeCell ref="AG13:AL13"/>
    <x:mergeCell ref="AM13:AP13"/>
    <x:mergeCell ref="AQ13:AZ13"/>
    <x:mergeCell ref="A14:E14"/>
    <x:mergeCell ref="F14:N14"/>
    <x:mergeCell ref="O14:V14"/>
    <x:mergeCell ref="W14:Z14"/>
    <x:mergeCell ref="AA14:AF14"/>
    <x:mergeCell ref="AG14:AL14"/>
    <x:mergeCell ref="AM14:AP14"/>
    <x:mergeCell ref="AQ14:AZ14"/>
    <x:mergeCell ref="A15:E15"/>
    <x:mergeCell ref="F15:N15"/>
    <x:mergeCell ref="O15:V15"/>
    <x:mergeCell ref="W15:Z15"/>
    <x:mergeCell ref="AA15:AF15"/>
    <x:mergeCell ref="AG15:AL15"/>
    <x:mergeCell ref="AM15:AP15"/>
    <x:mergeCell ref="AQ15:AZ15"/>
    <x:mergeCell ref="A16:E16"/>
    <x:mergeCell ref="F16:N16"/>
    <x:mergeCell ref="O16:V16"/>
    <x:mergeCell ref="W16:Z16"/>
    <x:mergeCell ref="AA16:AF16"/>
    <x:mergeCell ref="AG16:AL16"/>
    <x:mergeCell ref="AM16:AP16"/>
    <x:mergeCell ref="AQ16:AZ16"/>
    <x:mergeCell ref="A17:E17"/>
    <x:mergeCell ref="F17:N17"/>
    <x:mergeCell ref="O17:V17"/>
    <x:mergeCell ref="W17:Z17"/>
    <x:mergeCell ref="AA17:AF17"/>
    <x:mergeCell ref="AG17:AL17"/>
    <x:mergeCell ref="AM17:AP17"/>
    <x:mergeCell ref="AQ17:AZ17"/>
    <x:mergeCell ref="B18:AX19"/>
    <x:mergeCell ref="C20:L21"/>
    <x:mergeCell ref="C22:L25"/>
    <x:mergeCell ref="O20:X21"/>
    <x:mergeCell ref="O22:X25"/>
    <x:mergeCell ref="AA20:AJ21"/>
    <x:mergeCell ref="AA22:AJ25"/>
    <x:mergeCell ref="AM20:AV21"/>
    <x:mergeCell ref="AM22:AV25"/>
    <x:mergeCell ref="B29:AX30"/>
    <x:mergeCell ref="B32:H32"/>
    <x:mergeCell ref="I32:AH32"/>
    <x:mergeCell ref="AI32:AX32"/>
    <x:mergeCell ref="B33:H33"/>
    <x:mergeCell ref="I33:AH33"/>
    <x:mergeCell ref="AI33:AX33"/>
    <x:mergeCell ref="B34:H34"/>
    <x:mergeCell ref="I34:AH34"/>
    <x:mergeCell ref="AI34:AX34"/>
    <x:mergeCell ref="B35:H35"/>
    <x:mergeCell ref="I35:AH35"/>
    <x:mergeCell ref="AI35:AX35"/>
    <x:mergeCell ref="B36:H36"/>
    <x:mergeCell ref="I36:AH36"/>
    <x:mergeCell ref="AI36:AX36"/>
    <x:mergeCell ref="B37:H37"/>
    <x:mergeCell ref="I37:AH37"/>
    <x:mergeCell ref="AI37:AX37"/>
    <x:mergeCell ref="B38:H38"/>
    <x:mergeCell ref="I38:AH38"/>
    <x:mergeCell ref="AI38:AX38"/>
    <x:mergeCell ref="B39:H39"/>
    <x:mergeCell ref="I39:AH39"/>
    <x:mergeCell ref="AI39:AX39"/>
    <x:mergeCell ref="B40:H40"/>
    <x:mergeCell ref="I40:AH40"/>
    <x:mergeCell ref="AI40:AX40"/>
    <x:mergeCell ref="B44:AX45"/>
    <x:mergeCell ref="B47:I47"/>
    <x:mergeCell ref="J47:V47"/>
    <x:mergeCell ref="W47:AH47"/>
    <x:mergeCell ref="AI47:AP47"/>
    <x:mergeCell ref="AQ47:AX47"/>
    <x:mergeCell ref="B48:I49"/>
    <x:mergeCell ref="J48:V49"/>
    <x:mergeCell ref="W48:AH49"/>
    <x:mergeCell ref="AI48:AP49"/>
    <x:mergeCell ref="AQ48:AX49"/>
    <x:mergeCell ref="B50:I51"/>
    <x:mergeCell ref="J50:V51"/>
    <x:mergeCell ref="W50:AH51"/>
    <x:mergeCell ref="AI50:AP51"/>
    <x:mergeCell ref="AQ50:AX51"/>
    <x:mergeCell ref="B52:I53"/>
    <x:mergeCell ref="J52:V53"/>
    <x:mergeCell ref="W52:AH53"/>
    <x:mergeCell ref="AI52:AP53"/>
    <x:mergeCell ref="AQ52:AX53"/>
    <x:mergeCell ref="B54:I55"/>
    <x:mergeCell ref="J54:V55"/>
    <x:mergeCell ref="W54:AH55"/>
    <x:mergeCell ref="AI54:AP55"/>
    <x:mergeCell ref="AQ54:AX55"/>
  </x:mergeCells>
  <x:conditionalFormatting sqref="AM9:AM17">
    <x:cfRule type="containsText" dxfId="2" priority="1" operator="containsText" text="合格"/>
    <x:cfRule type="containsText" dxfId="3" priority="2" operator="containsText" text="不合格"/>
  </x:conditionalFormatting>
  <x:dataValidations count="1">
    <x:dataValidation type="list" sqref="AG9:AG17">
      <x:formula1>"未実施,DRAFT,SUBMITTED,PENDING,RETURNED,APPROVED,PAYMENT_PENDING,PAID,CANCELLED,ERROR"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</x:cols>
  <x:sheetData>
    <x:row r="1" ht="13.5" customHeight="1">
      <x:c r="A1" s="131" t="str">
        <x:v>08 非機能・運用設計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  <x:c r="N1" s="131"/>
      <x:c r="O1" s="131"/>
      <x:c r="P1" s="131"/>
      <x:c r="Q1" s="131"/>
      <x:c r="R1" s="131"/>
      <x:c r="S1" s="131"/>
      <x:c r="T1" s="131"/>
      <x:c r="U1" s="131"/>
      <x:c r="V1" s="131"/>
      <x:c r="W1" s="131"/>
      <x:c r="X1" s="131"/>
      <x:c r="Y1" s="131"/>
      <x:c r="Z1" s="131"/>
      <x:c r="AA1" s="131"/>
      <x:c r="AB1" s="131"/>
      <x:c r="AC1" s="131"/>
      <x:c r="AD1" s="131"/>
      <x:c r="AE1" s="131"/>
      <x:c r="AF1" s="131"/>
      <x:c r="AG1" s="131"/>
      <x:c r="AH1" s="131"/>
      <x:c r="AI1" s="131"/>
      <x:c r="AJ1" s="131"/>
      <x:c r="AK1" s="131"/>
      <x:c r="AL1" s="131"/>
      <x:c r="AM1" s="131"/>
      <x:c r="AN1" s="131"/>
      <x:c r="AO1" s="131"/>
      <x:c r="AP1" s="131"/>
      <x:c r="AQ1" s="131"/>
      <x:c r="AR1" s="131"/>
      <x:c r="AS1" s="131"/>
      <x:c r="AT1" s="131"/>
      <x:c r="AU1" s="131"/>
      <x:c r="AV1" s="131"/>
      <x:c r="AW1" s="131"/>
      <x:c r="AX1" s="131"/>
      <x:c r="AY1" s="131"/>
      <x:c r="AZ1" s="131"/>
    </x:row>
    <x:row r="2" ht="13.5" customHeight="1">
      <x:c r="A2" s="131"/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  <x:c r="Q2" s="131"/>
      <x:c r="R2" s="131"/>
      <x:c r="S2" s="131"/>
      <x:c r="T2" s="131"/>
      <x:c r="U2" s="131"/>
      <x:c r="V2" s="131"/>
      <x:c r="W2" s="131"/>
      <x:c r="X2" s="131"/>
      <x:c r="Y2" s="131"/>
      <x:c r="Z2" s="131"/>
      <x:c r="AA2" s="131"/>
      <x:c r="AB2" s="131"/>
      <x:c r="AC2" s="131"/>
      <x:c r="AD2" s="131"/>
      <x:c r="AE2" s="131"/>
      <x:c r="AF2" s="131"/>
      <x:c r="AG2" s="131"/>
      <x:c r="AH2" s="131"/>
      <x:c r="AI2" s="131"/>
      <x:c r="AJ2" s="131"/>
      <x:c r="AK2" s="131"/>
      <x:c r="AL2" s="131"/>
      <x:c r="AM2" s="131"/>
      <x:c r="AN2" s="131"/>
      <x:c r="AO2" s="131"/>
      <x:c r="AP2" s="131"/>
      <x:c r="AQ2" s="131"/>
      <x:c r="AR2" s="131"/>
      <x:c r="AS2" s="131"/>
      <x:c r="AT2" s="131"/>
      <x:c r="AU2" s="131"/>
      <x:c r="AV2" s="131"/>
      <x:c r="AW2" s="131"/>
      <x:c r="AX2" s="131"/>
      <x:c r="AY2" s="131"/>
      <x:c r="AZ2" s="131"/>
    </x:row>
    <x:row r="3" ht="13.5" customHeight="1">
      <x:c r="A3" s="135" t="str">
        <x:v>IPA非機能要求グレードの分類を参考に、目標値・測定方法・実装・運用判断を追跡可能にする。</x:v>
      </x:c>
      <x:c r="B3" s="135"/>
      <x:c r="C3" s="135"/>
      <x:c r="D3" s="135"/>
      <x:c r="E3" s="135"/>
      <x:c r="F3" s="135"/>
      <x:c r="G3" s="135"/>
      <x:c r="H3" s="135"/>
      <x:c r="I3" s="135"/>
      <x:c r="J3" s="135"/>
      <x:c r="K3" s="135"/>
      <x:c r="L3" s="135"/>
      <x:c r="M3" s="135"/>
      <x:c r="N3" s="135"/>
      <x:c r="O3" s="135"/>
      <x:c r="P3" s="135"/>
      <x:c r="Q3" s="135"/>
      <x:c r="R3" s="135"/>
      <x:c r="S3" s="135"/>
      <x:c r="T3" s="135"/>
      <x:c r="U3" s="135"/>
      <x:c r="V3" s="135"/>
      <x:c r="W3" s="135"/>
      <x:c r="X3" s="135"/>
      <x:c r="Y3" s="135"/>
      <x:c r="Z3" s="135"/>
      <x:c r="AA3" s="135"/>
      <x:c r="AB3" s="135"/>
      <x:c r="AC3" s="135"/>
      <x:c r="AD3" s="135"/>
      <x:c r="AE3" s="135"/>
      <x:c r="AF3" s="135"/>
      <x:c r="AG3" s="135"/>
      <x:c r="AH3" s="135"/>
      <x:c r="AI3" s="135"/>
      <x:c r="AJ3" s="135"/>
      <x:c r="AK3" s="135"/>
      <x:c r="AL3" s="135"/>
      <x:c r="AM3" s="135"/>
      <x:c r="AN3" s="135"/>
      <x:c r="AO3" s="135"/>
      <x:c r="AP3" s="135"/>
      <x:c r="AQ3" s="135"/>
      <x:c r="AR3" s="135"/>
      <x:c r="AS3" s="135"/>
      <x:c r="AT3" s="135"/>
      <x:c r="AU3" s="135"/>
      <x:c r="AV3" s="135"/>
      <x:c r="AW3" s="135"/>
      <x:c r="AX3" s="135"/>
      <x:c r="AY3" s="135"/>
      <x:c r="AZ3" s="135"/>
    </x:row>
    <x:row r="4" ht="13.5" customHeight="1">
      <x:c r="A4" s="140" t="str">
        <x:v>文書ID: EXPS-DES-08</x:v>
      </x:c>
      <x:c r="B4" s="140"/>
      <x:c r="C4" s="140"/>
      <x:c r="D4" s="140"/>
      <x:c r="E4" s="140"/>
      <x:c r="F4" s="140"/>
      <x:c r="G4" s="140"/>
      <x:c r="H4" s="140"/>
      <x:c r="I4" s="140"/>
      <x:c r="J4" s="140"/>
      <x:c r="K4" s="140"/>
      <x:c r="L4" s="140"/>
      <x:c r="M4" s="140" t="str">
        <x:v>版: 1.2</x:v>
      </x:c>
      <x:c r="N4" s="140"/>
      <x:c r="O4" s="140"/>
      <x:c r="P4" s="140"/>
      <x:c r="Q4" s="140"/>
      <x:c r="R4" s="140"/>
      <x:c r="S4" s="140" t="str">
        <x:v>状態: レビュー中</x:v>
      </x:c>
      <x:c r="T4" s="140"/>
      <x:c r="U4" s="140"/>
      <x:c r="V4" s="140"/>
      <x:c r="W4" s="140"/>
      <x:c r="X4" s="140"/>
      <x:c r="Y4" s="140"/>
      <x:c r="Z4" s="140"/>
      <x:c r="AA4" s="140"/>
      <x:c r="AB4" s="140"/>
      <x:c r="AC4" s="140"/>
      <x:c r="AD4" s="140"/>
      <x:c r="AE4" s="140"/>
      <x:c r="AF4" s="140" t="str">
        <x:v>主管: 業務システム部</x:v>
      </x:c>
      <x:c r="AG4" s="140"/>
      <x:c r="AH4" s="140"/>
      <x:c r="AI4" s="140"/>
      <x:c r="AJ4" s="140"/>
      <x:c r="AK4" s="140"/>
      <x:c r="AL4" s="140"/>
      <x:c r="AM4" s="140"/>
      <x:c r="AN4" s="140"/>
      <x:c r="AO4" s="140"/>
      <x:c r="AP4" s="140"/>
      <x:c r="AQ4" s="140"/>
      <x:c r="AR4" s="140" t="str">
        <x:v>更新: 2026-08-23</x:v>
      </x:c>
      <x:c r="AS4" s="140"/>
      <x:c r="AT4" s="140"/>
      <x:c r="AU4" s="140"/>
      <x:c r="AV4" s="140"/>
      <x:c r="AW4" s="140"/>
      <x:c r="AX4" s="140"/>
      <x:c r="AY4" s="140"/>
      <x:c r="AZ4" s="140"/>
    </x:row>
    <x:row r="5" ht="13.5" customHeight="1">
      <x:c r="A5" s="2"/>
      <x:c r="B5" s="77" t="str">
        <x:v>8.1 非機能要求・SLO</x:v>
      </x:c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  <x:c r="AA5" s="78"/>
      <x:c r="AB5" s="78"/>
      <x:c r="AC5" s="78"/>
      <x:c r="AD5" s="78"/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9"/>
      <x:c r="AY5" s="2"/>
      <x:c r="AZ5" s="2"/>
    </x:row>
    <x:row r="6" ht="13.5" customHeight="1">
      <x:c r="A6" s="2"/>
      <x:c r="B6" s="80"/>
      <x:c r="C6" s="8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  <x:c r="AA6" s="81"/>
      <x:c r="AB6" s="81"/>
      <x:c r="AC6" s="81"/>
      <x:c r="AD6" s="81"/>
      <x:c r="AE6" s="81"/>
      <x:c r="AF6" s="81"/>
      <x:c r="AG6" s="81"/>
      <x:c r="AH6" s="81"/>
      <x:c r="AI6" s="81"/>
      <x:c r="AJ6" s="81"/>
      <x:c r="AK6" s="81"/>
      <x:c r="AL6" s="81"/>
      <x:c r="AM6" s="81"/>
      <x:c r="AN6" s="81"/>
      <x:c r="AO6" s="81"/>
      <x:c r="AP6" s="81"/>
      <x:c r="AQ6" s="81"/>
      <x:c r="AR6" s="81"/>
      <x:c r="AS6" s="81"/>
      <x:c r="AT6" s="81"/>
      <x:c r="AU6" s="81"/>
      <x:c r="AV6" s="81"/>
      <x:c r="AW6" s="81"/>
      <x:c r="AX6" s="82"/>
      <x:c r="AY6" s="2"/>
      <x:c r="AZ6" s="2"/>
    </x:row>
    <x:row r="7" ht="13.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13.5" customHeight="1">
      <x:c r="A8" s="2"/>
      <x:c r="B8" s="127" t="str">
        <x:v>NFR ID</x:v>
      </x:c>
      <x:c r="C8" s="127"/>
      <x:c r="D8" s="127"/>
      <x:c r="E8" s="127"/>
      <x:c r="F8" s="127"/>
      <x:c r="G8" s="127"/>
      <x:c r="H8" s="127" t="str">
        <x:v>分類</x:v>
      </x:c>
      <x:c r="I8" s="127"/>
      <x:c r="J8" s="127"/>
      <x:c r="K8" s="127"/>
      <x:c r="L8" s="127"/>
      <x:c r="M8" s="127"/>
      <x:c r="N8" s="127" t="str">
        <x:v>目標値／条件</x:v>
      </x:c>
      <x:c r="O8" s="127"/>
      <x:c r="P8" s="127"/>
      <x:c r="Q8" s="127"/>
      <x:c r="R8" s="127"/>
      <x:c r="S8" s="127"/>
      <x:c r="T8" s="127"/>
      <x:c r="U8" s="127"/>
      <x:c r="V8" s="127"/>
      <x:c r="W8" s="127"/>
      <x:c r="X8" s="127"/>
      <x:c r="Y8" s="127"/>
      <x:c r="Z8" s="127" t="str">
        <x:v>測定・判定</x:v>
      </x:c>
      <x:c r="AA8" s="127"/>
      <x:c r="AB8" s="127"/>
      <x:c r="AC8" s="127"/>
      <x:c r="AD8" s="127"/>
      <x:c r="AE8" s="127"/>
      <x:c r="AF8" s="127"/>
      <x:c r="AG8" s="127"/>
      <x:c r="AH8" s="127"/>
      <x:c r="AI8" s="127" t="str">
        <x:v>設計上の実現手段</x:v>
      </x:c>
      <x:c r="AJ8" s="127"/>
      <x:c r="AK8" s="127"/>
      <x:c r="AL8" s="127"/>
      <x:c r="AM8" s="127"/>
      <x:c r="AN8" s="127"/>
      <x:c r="AO8" s="127"/>
      <x:c r="AP8" s="127"/>
      <x:c r="AQ8" s="127"/>
      <x:c r="AR8" s="127"/>
      <x:c r="AS8" s="127" t="str">
        <x:v>合意状態</x:v>
      </x:c>
      <x:c r="AT8" s="127"/>
      <x:c r="AU8" s="127"/>
      <x:c r="AV8" s="127"/>
      <x:c r="AW8" s="127"/>
      <x:c r="AX8" s="127"/>
      <x:c r="AY8" s="2"/>
      <x:c r="AZ8" s="2"/>
    </x:row>
    <x:row r="9" ht="13.5" customHeight="1">
      <x:c r="A9" s="2"/>
      <x:c r="B9" s="210" t="str">
        <x:v>NFR-AVL-01</x:v>
      </x:c>
      <x:c r="C9" s="210"/>
      <x:c r="D9" s="210"/>
      <x:c r="E9" s="210"/>
      <x:c r="F9" s="210"/>
      <x:c r="G9" s="210"/>
      <x:c r="H9" s="210" t="str">
        <x:v>可用性</x:v>
      </x:c>
      <x:c r="I9" s="210"/>
      <x:c r="J9" s="210"/>
      <x:c r="K9" s="210"/>
      <x:c r="L9" s="210"/>
      <x:c r="M9" s="210"/>
      <x:c r="N9" s="210" t="str">
        <x:v>平日8:00–22:00の月間稼働率99.9%以上</x:v>
      </x:c>
      <x:c r="O9" s="210"/>
      <x:c r="P9" s="210"/>
      <x:c r="Q9" s="210"/>
      <x:c r="R9" s="210"/>
      <x:c r="S9" s="210"/>
      <x:c r="T9" s="210"/>
      <x:c r="U9" s="210"/>
      <x:c r="V9" s="210"/>
      <x:c r="W9" s="210"/>
      <x:c r="X9" s="210"/>
      <x:c r="Y9" s="210"/>
      <x:c r="Z9" s="210" t="str">
        <x:v>外形監視1分間隔。計画停止を除外</x:v>
      </x:c>
      <x:c r="AA9" s="210"/>
      <x:c r="AB9" s="210"/>
      <x:c r="AC9" s="210"/>
      <x:c r="AD9" s="210"/>
      <x:c r="AE9" s="210"/>
      <x:c r="AF9" s="210"/>
      <x:c r="AG9" s="210"/>
      <x:c r="AH9" s="210"/>
      <x:c r="AI9" s="210" t="str">
        <x:v>2AZ配置、ヘルスチェック、ローリング更新</x:v>
      </x:c>
      <x:c r="AJ9" s="210"/>
      <x:c r="AK9" s="210"/>
      <x:c r="AL9" s="210"/>
      <x:c r="AM9" s="210"/>
      <x:c r="AN9" s="210"/>
      <x:c r="AO9" s="210"/>
      <x:c r="AP9" s="210"/>
      <x:c r="AQ9" s="210"/>
      <x:c r="AR9" s="210"/>
      <x:c r="AS9" s="210" t="str">
        <x:v>条件付合意</x:v>
      </x:c>
      <x:c r="AT9" s="210"/>
      <x:c r="AU9" s="210"/>
      <x:c r="AV9" s="210"/>
      <x:c r="AW9" s="210"/>
      <x:c r="AX9" s="210"/>
      <x:c r="AY9" s="2"/>
      <x:c r="AZ9" s="2"/>
    </x:row>
    <x:row r="10" ht="13.5" customHeight="1">
      <x:c r="A10" s="2"/>
      <x:c r="B10" s="210"/>
      <x:c r="C10" s="210"/>
      <x:c r="D10" s="210"/>
      <x:c r="E10" s="210"/>
      <x:c r="F10" s="210"/>
      <x:c r="G10" s="210"/>
      <x:c r="H10" s="210"/>
      <x:c r="I10" s="210"/>
      <x:c r="J10" s="210"/>
      <x:c r="K10" s="210"/>
      <x:c r="L10" s="210"/>
      <x:c r="M10" s="210"/>
      <x:c r="N10" s="210"/>
      <x:c r="O10" s="210"/>
      <x:c r="P10" s="210"/>
      <x:c r="Q10" s="210"/>
      <x:c r="R10" s="210"/>
      <x:c r="S10" s="210"/>
      <x:c r="T10" s="210"/>
      <x:c r="U10" s="210"/>
      <x:c r="V10" s="210"/>
      <x:c r="W10" s="210"/>
      <x:c r="X10" s="210"/>
      <x:c r="Y10" s="210"/>
      <x:c r="Z10" s="210"/>
      <x:c r="AA10" s="210"/>
      <x:c r="AB10" s="210"/>
      <x:c r="AC10" s="210"/>
      <x:c r="AD10" s="210"/>
      <x:c r="AE10" s="210"/>
      <x:c r="AF10" s="210"/>
      <x:c r="AG10" s="210"/>
      <x:c r="AH10" s="210"/>
      <x:c r="AI10" s="210"/>
      <x:c r="AJ10" s="210"/>
      <x:c r="AK10" s="210"/>
      <x:c r="AL10" s="210"/>
      <x:c r="AM10" s="210"/>
      <x:c r="AN10" s="210"/>
      <x:c r="AO10" s="210"/>
      <x:c r="AP10" s="210"/>
      <x:c r="AQ10" s="210"/>
      <x:c r="AR10" s="210"/>
      <x:c r="AS10" s="210"/>
      <x:c r="AT10" s="210"/>
      <x:c r="AU10" s="210"/>
      <x:c r="AV10" s="210"/>
      <x:c r="AW10" s="210"/>
      <x:c r="AX10" s="210"/>
      <x:c r="AY10" s="2"/>
      <x:c r="AZ10" s="2"/>
    </x:row>
    <x:row r="11" ht="13.5" customHeight="1">
      <x:c r="A11" s="2"/>
      <x:c r="B11" s="210" t="str">
        <x:v>NFR-AVL-02</x:v>
      </x:c>
      <x:c r="C11" s="210"/>
      <x:c r="D11" s="210"/>
      <x:c r="E11" s="210"/>
      <x:c r="F11" s="210"/>
      <x:c r="G11" s="210"/>
      <x:c r="H11" s="210" t="str">
        <x:v>回復性</x:v>
      </x:c>
      <x:c r="I11" s="210"/>
      <x:c r="J11" s="210"/>
      <x:c r="K11" s="210"/>
      <x:c r="L11" s="210"/>
      <x:c r="M11" s="210"/>
      <x:c r="N11" s="210" t="str">
        <x:v>RTO 4時間／RPO 15分</x:v>
      </x:c>
      <x:c r="O11" s="210"/>
      <x:c r="P11" s="210"/>
      <x:c r="Q11" s="210"/>
      <x:c r="R11" s="210"/>
      <x:c r="S11" s="210"/>
      <x:c r="T11" s="210"/>
      <x:c r="U11" s="210"/>
      <x:c r="V11" s="210"/>
      <x:c r="W11" s="210"/>
      <x:c r="X11" s="210"/>
      <x:c r="Y11" s="210"/>
      <x:c r="Z11" s="210" t="str">
        <x:v>年1回の復旧訓練で実測</x:v>
      </x:c>
      <x:c r="AA11" s="210"/>
      <x:c r="AB11" s="210"/>
      <x:c r="AC11" s="210"/>
      <x:c r="AD11" s="210"/>
      <x:c r="AE11" s="210"/>
      <x:c r="AF11" s="210"/>
      <x:c r="AG11" s="210"/>
      <x:c r="AH11" s="210"/>
      <x:c r="AI11" s="210" t="str">
        <x:v>日次バックアップ＋WAL 15分転送</x:v>
      </x:c>
      <x:c r="AJ11" s="210"/>
      <x:c r="AK11" s="210"/>
      <x:c r="AL11" s="210"/>
      <x:c r="AM11" s="210"/>
      <x:c r="AN11" s="210"/>
      <x:c r="AO11" s="210"/>
      <x:c r="AP11" s="210"/>
      <x:c r="AQ11" s="210"/>
      <x:c r="AR11" s="210"/>
      <x:c r="AS11" s="210" t="str">
        <x:v>要確認</x:v>
      </x:c>
      <x:c r="AT11" s="210"/>
      <x:c r="AU11" s="210"/>
      <x:c r="AV11" s="210"/>
      <x:c r="AW11" s="210"/>
      <x:c r="AX11" s="210"/>
      <x:c r="AY11" s="2"/>
      <x:c r="AZ11" s="2"/>
    </x:row>
    <x:row r="12" ht="13.5" customHeight="1">
      <x:c r="A12" s="2"/>
      <x:c r="B12" s="210"/>
      <x:c r="C12" s="210"/>
      <x:c r="D12" s="210"/>
      <x:c r="E12" s="210"/>
      <x:c r="F12" s="210"/>
      <x:c r="G12" s="210"/>
      <x:c r="H12" s="210"/>
      <x:c r="I12" s="210"/>
      <x:c r="J12" s="210"/>
      <x:c r="K12" s="210"/>
      <x:c r="L12" s="210"/>
      <x:c r="M12" s="210"/>
      <x:c r="N12" s="210"/>
      <x:c r="O12" s="210"/>
      <x:c r="P12" s="210"/>
      <x:c r="Q12" s="210"/>
      <x:c r="R12" s="210"/>
      <x:c r="S12" s="210"/>
      <x:c r="T12" s="210"/>
      <x:c r="U12" s="210"/>
      <x:c r="V12" s="210"/>
      <x:c r="W12" s="210"/>
      <x:c r="X12" s="210"/>
      <x:c r="Y12" s="210"/>
      <x:c r="Z12" s="210"/>
      <x:c r="AA12" s="210"/>
      <x:c r="AB12" s="210"/>
      <x:c r="AC12" s="210"/>
      <x:c r="AD12" s="210"/>
      <x:c r="AE12" s="210"/>
      <x:c r="AF12" s="210"/>
      <x:c r="AG12" s="210"/>
      <x:c r="AH12" s="210"/>
      <x:c r="AI12" s="210"/>
      <x:c r="AJ12" s="210"/>
      <x:c r="AK12" s="210"/>
      <x:c r="AL12" s="210"/>
      <x:c r="AM12" s="210"/>
      <x:c r="AN12" s="210"/>
      <x:c r="AO12" s="210"/>
      <x:c r="AP12" s="210"/>
      <x:c r="AQ12" s="210"/>
      <x:c r="AR12" s="210"/>
      <x:c r="AS12" s="210"/>
      <x:c r="AT12" s="210"/>
      <x:c r="AU12" s="210"/>
      <x:c r="AV12" s="210"/>
      <x:c r="AW12" s="210"/>
      <x:c r="AX12" s="210"/>
      <x:c r="AY12" s="2"/>
      <x:c r="AZ12" s="2"/>
    </x:row>
    <x:row r="13" ht="13.5" customHeight="1">
      <x:c r="A13" s="2"/>
      <x:c r="B13" s="210" t="str">
        <x:v>NFR-PERF-01</x:v>
      </x:c>
      <x:c r="C13" s="210"/>
      <x:c r="D13" s="210"/>
      <x:c r="E13" s="210"/>
      <x:c r="F13" s="210"/>
      <x:c r="G13" s="210"/>
      <x:c r="H13" s="210" t="str">
        <x:v>性能</x:v>
      </x:c>
      <x:c r="I13" s="210"/>
      <x:c r="J13" s="210"/>
      <x:c r="K13" s="210"/>
      <x:c r="L13" s="210"/>
      <x:c r="M13" s="210"/>
      <x:c r="N13" s="210" t="str">
        <x:v>通常申請 p95 1.0秒以下、20 TPS</x:v>
      </x:c>
      <x:c r="O13" s="210"/>
      <x:c r="P13" s="210"/>
      <x:c r="Q13" s="210"/>
      <x:c r="R13" s="210"/>
      <x:c r="S13" s="210"/>
      <x:c r="T13" s="210"/>
      <x:c r="U13" s="210"/>
      <x:c r="V13" s="210"/>
      <x:c r="W13" s="210"/>
      <x:c r="X13" s="210"/>
      <x:c r="Y13" s="210"/>
      <x:c r="Z13" s="210" t="str">
        <x:v>APMで5分窓。添付転送時間を除外</x:v>
      </x:c>
      <x:c r="AA13" s="210"/>
      <x:c r="AB13" s="210"/>
      <x:c r="AC13" s="210"/>
      <x:c r="AD13" s="210"/>
      <x:c r="AE13" s="210"/>
      <x:c r="AF13" s="210"/>
      <x:c r="AG13" s="210"/>
      <x:c r="AH13" s="210"/>
      <x:c r="AI13" s="210" t="str">
        <x:v>DB索引、接続プール、非同期イベント化</x:v>
      </x:c>
      <x:c r="AJ13" s="210"/>
      <x:c r="AK13" s="210"/>
      <x:c r="AL13" s="210"/>
      <x:c r="AM13" s="210"/>
      <x:c r="AN13" s="210"/>
      <x:c r="AO13" s="210"/>
      <x:c r="AP13" s="210"/>
      <x:c r="AQ13" s="210"/>
      <x:c r="AR13" s="210"/>
      <x:c r="AS13" s="210" t="str">
        <x:v>合意済</x:v>
      </x:c>
      <x:c r="AT13" s="210"/>
      <x:c r="AU13" s="210"/>
      <x:c r="AV13" s="210"/>
      <x:c r="AW13" s="210"/>
      <x:c r="AX13" s="210"/>
      <x:c r="AY13" s="2"/>
      <x:c r="AZ13" s="2"/>
    </x:row>
    <x:row r="14" ht="13.5" customHeight="1">
      <x:c r="A14" s="2"/>
      <x:c r="B14" s="210"/>
      <x:c r="C14" s="210"/>
      <x:c r="D14" s="210"/>
      <x:c r="E14" s="210"/>
      <x:c r="F14" s="210"/>
      <x:c r="G14" s="210"/>
      <x:c r="H14" s="210"/>
      <x:c r="I14" s="210"/>
      <x:c r="J14" s="210"/>
      <x:c r="K14" s="210"/>
      <x:c r="L14" s="210"/>
      <x:c r="M14" s="210"/>
      <x:c r="N14" s="210"/>
      <x:c r="O14" s="210"/>
      <x:c r="P14" s="210"/>
      <x:c r="Q14" s="210"/>
      <x:c r="R14" s="210"/>
      <x:c r="S14" s="210"/>
      <x:c r="T14" s="210"/>
      <x:c r="U14" s="210"/>
      <x:c r="V14" s="210"/>
      <x:c r="W14" s="210"/>
      <x:c r="X14" s="210"/>
      <x:c r="Y14" s="210"/>
      <x:c r="Z14" s="210"/>
      <x:c r="AA14" s="210"/>
      <x:c r="AB14" s="210"/>
      <x:c r="AC14" s="210"/>
      <x:c r="AD14" s="210"/>
      <x:c r="AE14" s="210"/>
      <x:c r="AF14" s="210"/>
      <x:c r="AG14" s="210"/>
      <x:c r="AH14" s="210"/>
      <x:c r="AI14" s="210"/>
      <x:c r="AJ14" s="210"/>
      <x:c r="AK14" s="210"/>
      <x:c r="AL14" s="210"/>
      <x:c r="AM14" s="210"/>
      <x:c r="AN14" s="210"/>
      <x:c r="AO14" s="210"/>
      <x:c r="AP14" s="210"/>
      <x:c r="AQ14" s="210"/>
      <x:c r="AR14" s="210"/>
      <x:c r="AS14" s="210"/>
      <x:c r="AT14" s="210"/>
      <x:c r="AU14" s="210"/>
      <x:c r="AV14" s="210"/>
      <x:c r="AW14" s="210"/>
      <x:c r="AX14" s="210"/>
      <x:c r="AY14" s="2"/>
      <x:c r="AZ14" s="2"/>
    </x:row>
    <x:row r="15" ht="13.5" customHeight="1">
      <x:c r="A15" s="2"/>
      <x:c r="B15" s="210" t="str">
        <x:v>NFR-CAP-01</x:v>
      </x:c>
      <x:c r="C15" s="210"/>
      <x:c r="D15" s="210"/>
      <x:c r="E15" s="210"/>
      <x:c r="F15" s="210"/>
      <x:c r="G15" s="210"/>
      <x:c r="H15" s="210" t="str">
        <x:v>拡張性</x:v>
      </x:c>
      <x:c r="I15" s="210"/>
      <x:c r="J15" s="210"/>
      <x:c r="K15" s="210"/>
      <x:c r="L15" s="210"/>
      <x:c r="M15" s="210"/>
      <x:c r="N15" s="210" t="str">
        <x:v>月5万申請、3年分をオンライン保持</x:v>
      </x:c>
      <x:c r="O15" s="210"/>
      <x:c r="P15" s="210"/>
      <x:c r="Q15" s="210"/>
      <x:c r="R15" s="210"/>
      <x:c r="S15" s="210"/>
      <x:c r="T15" s="210"/>
      <x:c r="U15" s="210"/>
      <x:c r="V15" s="210"/>
      <x:c r="W15" s="210"/>
      <x:c r="X15" s="210"/>
      <x:c r="Y15" s="210"/>
      <x:c r="Z15" s="210" t="str">
        <x:v>月次容量レポート、70%で警告</x:v>
      </x:c>
      <x:c r="AA15" s="210"/>
      <x:c r="AB15" s="210"/>
      <x:c r="AC15" s="210"/>
      <x:c r="AD15" s="210"/>
      <x:c r="AE15" s="210"/>
      <x:c r="AF15" s="210"/>
      <x:c r="AG15" s="210"/>
      <x:c r="AH15" s="210"/>
      <x:c r="AI15" s="210" t="str">
        <x:v>claim_id分散、領収書はObject Storage</x:v>
      </x:c>
      <x:c r="AJ15" s="210"/>
      <x:c r="AK15" s="210"/>
      <x:c r="AL15" s="210"/>
      <x:c r="AM15" s="210"/>
      <x:c r="AN15" s="210"/>
      <x:c r="AO15" s="210"/>
      <x:c r="AP15" s="210"/>
      <x:c r="AQ15" s="210"/>
      <x:c r="AR15" s="210"/>
      <x:c r="AS15" s="210" t="str">
        <x:v>要確認</x:v>
      </x:c>
      <x:c r="AT15" s="210"/>
      <x:c r="AU15" s="210"/>
      <x:c r="AV15" s="210"/>
      <x:c r="AW15" s="210"/>
      <x:c r="AX15" s="210"/>
      <x:c r="AY15" s="2"/>
      <x:c r="AZ15" s="2"/>
    </x:row>
    <x:row r="16" ht="13.5" customHeight="1">
      <x:c r="A16" s="2"/>
      <x:c r="B16" s="210"/>
      <x:c r="C16" s="210"/>
      <x:c r="D16" s="210"/>
      <x:c r="E16" s="210"/>
      <x:c r="F16" s="210"/>
      <x:c r="G16" s="210"/>
      <x:c r="H16" s="210"/>
      <x:c r="I16" s="210"/>
      <x:c r="J16" s="210"/>
      <x:c r="K16" s="210"/>
      <x:c r="L16" s="210"/>
      <x:c r="M16" s="210"/>
      <x:c r="N16" s="210"/>
      <x:c r="O16" s="210"/>
      <x:c r="P16" s="210"/>
      <x:c r="Q16" s="210"/>
      <x:c r="R16" s="210"/>
      <x:c r="S16" s="210"/>
      <x:c r="T16" s="210"/>
      <x:c r="U16" s="210"/>
      <x:c r="V16" s="210"/>
      <x:c r="W16" s="210"/>
      <x:c r="X16" s="210"/>
      <x:c r="Y16" s="210"/>
      <x:c r="Z16" s="210"/>
      <x:c r="AA16" s="210"/>
      <x:c r="AB16" s="210"/>
      <x:c r="AC16" s="210"/>
      <x:c r="AD16" s="210"/>
      <x:c r="AE16" s="210"/>
      <x:c r="AF16" s="210"/>
      <x:c r="AG16" s="210"/>
      <x:c r="AH16" s="210"/>
      <x:c r="AI16" s="210"/>
      <x:c r="AJ16" s="210"/>
      <x:c r="AK16" s="210"/>
      <x:c r="AL16" s="210"/>
      <x:c r="AM16" s="210"/>
      <x:c r="AN16" s="210"/>
      <x:c r="AO16" s="210"/>
      <x:c r="AP16" s="210"/>
      <x:c r="AQ16" s="210"/>
      <x:c r="AR16" s="210"/>
      <x:c r="AS16" s="210"/>
      <x:c r="AT16" s="210"/>
      <x:c r="AU16" s="210"/>
      <x:c r="AV16" s="210"/>
      <x:c r="AW16" s="210"/>
      <x:c r="AX16" s="210"/>
      <x:c r="AY16" s="2"/>
      <x:c r="AZ16" s="2"/>
    </x:row>
    <x:row r="17" ht="13.5" customHeight="1">
      <x:c r="A17" s="2"/>
      <x:c r="B17" s="210" t="str">
        <x:v>NFR-SEC-01</x:v>
      </x:c>
      <x:c r="C17" s="210"/>
      <x:c r="D17" s="210"/>
      <x:c r="E17" s="210"/>
      <x:c r="F17" s="210"/>
      <x:c r="G17" s="210"/>
      <x:c r="H17" s="210" t="str">
        <x:v>認証認可</x:v>
      </x:c>
      <x:c r="I17" s="210"/>
      <x:c r="J17" s="210"/>
      <x:c r="K17" s="210"/>
      <x:c r="L17" s="210"/>
      <x:c r="M17" s="210"/>
      <x:c r="N17" s="210" t="str">
        <x:v>承認APIは承認者ロールのみ。管理操作はMFA</x:v>
      </x:c>
      <x:c r="O17" s="210"/>
      <x:c r="P17" s="210"/>
      <x:c r="Q17" s="210"/>
      <x:c r="R17" s="210"/>
      <x:c r="S17" s="210"/>
      <x:c r="T17" s="210"/>
      <x:c r="U17" s="210"/>
      <x:c r="V17" s="210"/>
      <x:c r="W17" s="210"/>
      <x:c r="X17" s="210"/>
      <x:c r="Y17" s="210"/>
      <x:c r="Z17" s="210" t="str">
        <x:v>403率・権限テスト・監査ログ</x:v>
      </x:c>
      <x:c r="AA17" s="210"/>
      <x:c r="AB17" s="210"/>
      <x:c r="AC17" s="210"/>
      <x:c r="AD17" s="210"/>
      <x:c r="AE17" s="210"/>
      <x:c r="AF17" s="210"/>
      <x:c r="AG17" s="210"/>
      <x:c r="AH17" s="210"/>
      <x:c r="AI17" s="210" t="str">
        <x:v>OIDC、RBAC、最小権限</x:v>
      </x:c>
      <x:c r="AJ17" s="210"/>
      <x:c r="AK17" s="210"/>
      <x:c r="AL17" s="210"/>
      <x:c r="AM17" s="210"/>
      <x:c r="AN17" s="210"/>
      <x:c r="AO17" s="210"/>
      <x:c r="AP17" s="210"/>
      <x:c r="AQ17" s="210"/>
      <x:c r="AR17" s="210"/>
      <x:c r="AS17" s="210" t="str">
        <x:v>合意済</x:v>
      </x:c>
      <x:c r="AT17" s="210"/>
      <x:c r="AU17" s="210"/>
      <x:c r="AV17" s="210"/>
      <x:c r="AW17" s="210"/>
      <x:c r="AX17" s="210"/>
      <x:c r="AY17" s="2"/>
      <x:c r="AZ17" s="2"/>
    </x:row>
    <x:row r="18" ht="13.5" customHeight="1">
      <x:c r="A18" s="2"/>
      <x:c r="B18" s="210"/>
      <x:c r="C18" s="210"/>
      <x:c r="D18" s="210"/>
      <x:c r="E18" s="210"/>
      <x:c r="F18" s="210"/>
      <x:c r="G18" s="210"/>
      <x:c r="H18" s="210"/>
      <x:c r="I18" s="210"/>
      <x:c r="J18" s="210"/>
      <x:c r="K18" s="210"/>
      <x:c r="L18" s="210"/>
      <x:c r="M18" s="210"/>
      <x:c r="N18" s="210"/>
      <x:c r="O18" s="210"/>
      <x:c r="P18" s="210"/>
      <x:c r="Q18" s="210"/>
      <x:c r="R18" s="210"/>
      <x:c r="S18" s="210"/>
      <x:c r="T18" s="210"/>
      <x:c r="U18" s="210"/>
      <x:c r="V18" s="210"/>
      <x:c r="W18" s="210"/>
      <x:c r="X18" s="210"/>
      <x:c r="Y18" s="210"/>
      <x:c r="Z18" s="210"/>
      <x:c r="AA18" s="210"/>
      <x:c r="AB18" s="210"/>
      <x:c r="AC18" s="210"/>
      <x:c r="AD18" s="210"/>
      <x:c r="AE18" s="210"/>
      <x:c r="AF18" s="210"/>
      <x:c r="AG18" s="210"/>
      <x:c r="AH18" s="210"/>
      <x:c r="AI18" s="210"/>
      <x:c r="AJ18" s="210"/>
      <x:c r="AK18" s="210"/>
      <x:c r="AL18" s="210"/>
      <x:c r="AM18" s="210"/>
      <x:c r="AN18" s="210"/>
      <x:c r="AO18" s="210"/>
      <x:c r="AP18" s="210"/>
      <x:c r="AQ18" s="210"/>
      <x:c r="AR18" s="210"/>
      <x:c r="AS18" s="210"/>
      <x:c r="AT18" s="210"/>
      <x:c r="AU18" s="210"/>
      <x:c r="AV18" s="210"/>
      <x:c r="AW18" s="210"/>
      <x:c r="AX18" s="210"/>
      <x:c r="AY18" s="2"/>
      <x:c r="AZ18" s="2"/>
    </x:row>
    <x:row r="19" ht="13.5" customHeight="1">
      <x:c r="A19" s="2"/>
      <x:c r="B19" s="210" t="str">
        <x:v>NFR-SEC-02</x:v>
      </x:c>
      <x:c r="C19" s="210"/>
      <x:c r="D19" s="210"/>
      <x:c r="E19" s="210"/>
      <x:c r="F19" s="210"/>
      <x:c r="G19" s="210"/>
      <x:c r="H19" s="210" t="str">
        <x:v>暗号化</x:v>
      </x:c>
      <x:c r="I19" s="210"/>
      <x:c r="J19" s="210"/>
      <x:c r="K19" s="210"/>
      <x:c r="L19" s="210"/>
      <x:c r="M19" s="210"/>
      <x:c r="N19" s="210" t="str">
        <x:v>通信TLS1.2以上、保存データAES-256相当</x:v>
      </x:c>
      <x:c r="O19" s="210"/>
      <x:c r="P19" s="210"/>
      <x:c r="Q19" s="210"/>
      <x:c r="R19" s="210"/>
      <x:c r="S19" s="210"/>
      <x:c r="T19" s="210"/>
      <x:c r="U19" s="210"/>
      <x:c r="V19" s="210"/>
      <x:c r="W19" s="210"/>
      <x:c r="X19" s="210"/>
      <x:c r="Y19" s="210"/>
      <x:c r="Z19" s="210" t="str">
        <x:v>構成監査・四半期スキャン</x:v>
      </x:c>
      <x:c r="AA19" s="210"/>
      <x:c r="AB19" s="210"/>
      <x:c r="AC19" s="210"/>
      <x:c r="AD19" s="210"/>
      <x:c r="AE19" s="210"/>
      <x:c r="AF19" s="210"/>
      <x:c r="AG19" s="210"/>
      <x:c r="AH19" s="210"/>
      <x:c r="AI19" s="210" t="str">
        <x:v>KMS鍵管理、領収書暗号化</x:v>
      </x:c>
      <x:c r="AJ19" s="210"/>
      <x:c r="AK19" s="210"/>
      <x:c r="AL19" s="210"/>
      <x:c r="AM19" s="210"/>
      <x:c r="AN19" s="210"/>
      <x:c r="AO19" s="210"/>
      <x:c r="AP19" s="210"/>
      <x:c r="AQ19" s="210"/>
      <x:c r="AR19" s="210"/>
      <x:c r="AS19" s="210" t="str">
        <x:v>合意済</x:v>
      </x:c>
      <x:c r="AT19" s="210"/>
      <x:c r="AU19" s="210"/>
      <x:c r="AV19" s="210"/>
      <x:c r="AW19" s="210"/>
      <x:c r="AX19" s="210"/>
      <x:c r="AY19" s="2"/>
      <x:c r="AZ19" s="2"/>
    </x:row>
    <x:row r="20" ht="13.5" customHeight="1">
      <x:c r="A20" s="2"/>
      <x:c r="B20" s="210"/>
      <x:c r="C20" s="210"/>
      <x:c r="D20" s="210"/>
      <x:c r="E20" s="210"/>
      <x:c r="F20" s="210"/>
      <x:c r="G20" s="210"/>
      <x:c r="H20" s="210"/>
      <x:c r="I20" s="210"/>
      <x:c r="J20" s="210"/>
      <x:c r="K20" s="210"/>
      <x:c r="L20" s="210"/>
      <x:c r="M20" s="210"/>
      <x:c r="N20" s="210"/>
      <x:c r="O20" s="210"/>
      <x:c r="P20" s="210"/>
      <x:c r="Q20" s="210"/>
      <x:c r="R20" s="210"/>
      <x:c r="S20" s="210"/>
      <x:c r="T20" s="210"/>
      <x:c r="U20" s="210"/>
      <x:c r="V20" s="210"/>
      <x:c r="W20" s="210"/>
      <x:c r="X20" s="210"/>
      <x:c r="Y20" s="210"/>
      <x:c r="Z20" s="210"/>
      <x:c r="AA20" s="210"/>
      <x:c r="AB20" s="210"/>
      <x:c r="AC20" s="210"/>
      <x:c r="AD20" s="210"/>
      <x:c r="AE20" s="210"/>
      <x:c r="AF20" s="210"/>
      <x:c r="AG20" s="210"/>
      <x:c r="AH20" s="210"/>
      <x:c r="AI20" s="210"/>
      <x:c r="AJ20" s="210"/>
      <x:c r="AK20" s="210"/>
      <x:c r="AL20" s="210"/>
      <x:c r="AM20" s="210"/>
      <x:c r="AN20" s="210"/>
      <x:c r="AO20" s="210"/>
      <x:c r="AP20" s="210"/>
      <x:c r="AQ20" s="210"/>
      <x:c r="AR20" s="210"/>
      <x:c r="AS20" s="210"/>
      <x:c r="AT20" s="210"/>
      <x:c r="AU20" s="210"/>
      <x:c r="AV20" s="210"/>
      <x:c r="AW20" s="210"/>
      <x:c r="AX20" s="210"/>
      <x:c r="AY20" s="2"/>
      <x:c r="AZ20" s="2"/>
    </x:row>
    <x:row r="21" ht="13.5" customHeight="1">
      <x:c r="A21" s="2"/>
      <x:c r="B21" s="210" t="str">
        <x:v>NFR-AUD-01</x:v>
      </x:c>
      <x:c r="C21" s="210"/>
      <x:c r="D21" s="210"/>
      <x:c r="E21" s="210"/>
      <x:c r="F21" s="210"/>
      <x:c r="G21" s="210"/>
      <x:c r="H21" s="210" t="str">
        <x:v>監査</x:v>
      </x:c>
      <x:c r="I21" s="210"/>
      <x:c r="J21" s="210"/>
      <x:c r="K21" s="210"/>
      <x:c r="L21" s="210"/>
      <x:c r="M21" s="210"/>
      <x:c r="N21" s="210" t="str">
        <x:v>状態変更の主体・時刻・前後値を100%記録</x:v>
      </x:c>
      <x:c r="O21" s="210"/>
      <x:c r="P21" s="210"/>
      <x:c r="Q21" s="210"/>
      <x:c r="R21" s="210"/>
      <x:c r="S21" s="210"/>
      <x:c r="T21" s="210"/>
      <x:c r="U21" s="210"/>
      <x:c r="V21" s="210"/>
      <x:c r="W21" s="210"/>
      <x:c r="X21" s="210"/>
      <x:c r="Y21" s="210"/>
      <x:c r="Z21" s="210" t="str">
        <x:v>日次欠落検査、改ざん検知</x:v>
      </x:c>
      <x:c r="AA21" s="210"/>
      <x:c r="AB21" s="210"/>
      <x:c r="AC21" s="210"/>
      <x:c r="AD21" s="210"/>
      <x:c r="AE21" s="210"/>
      <x:c r="AF21" s="210"/>
      <x:c r="AG21" s="210"/>
      <x:c r="AH21" s="210"/>
      <x:c r="AI21" s="210" t="str">
        <x:v>追記専用audit_log、時刻同期</x:v>
      </x:c>
      <x:c r="AJ21" s="210"/>
      <x:c r="AK21" s="210"/>
      <x:c r="AL21" s="210"/>
      <x:c r="AM21" s="210"/>
      <x:c r="AN21" s="210"/>
      <x:c r="AO21" s="210"/>
      <x:c r="AP21" s="210"/>
      <x:c r="AQ21" s="210"/>
      <x:c r="AR21" s="210"/>
      <x:c r="AS21" s="210" t="str">
        <x:v>合意済</x:v>
      </x:c>
      <x:c r="AT21" s="210"/>
      <x:c r="AU21" s="210"/>
      <x:c r="AV21" s="210"/>
      <x:c r="AW21" s="210"/>
      <x:c r="AX21" s="210"/>
      <x:c r="AY21" s="2"/>
      <x:c r="AZ21" s="2"/>
    </x:row>
    <x:row r="22" ht="13.5" customHeight="1">
      <x:c r="A22" s="2"/>
      <x:c r="B22" s="210"/>
      <x:c r="C22" s="210"/>
      <x:c r="D22" s="210"/>
      <x:c r="E22" s="210"/>
      <x:c r="F22" s="210"/>
      <x:c r="G22" s="210"/>
      <x:c r="H22" s="210"/>
      <x:c r="I22" s="210"/>
      <x:c r="J22" s="210"/>
      <x:c r="K22" s="210"/>
      <x:c r="L22" s="210"/>
      <x:c r="M22" s="210"/>
      <x:c r="N22" s="210"/>
      <x:c r="O22" s="210"/>
      <x:c r="P22" s="210"/>
      <x:c r="Q22" s="210"/>
      <x:c r="R22" s="210"/>
      <x:c r="S22" s="210"/>
      <x:c r="T22" s="210"/>
      <x:c r="U22" s="210"/>
      <x:c r="V22" s="210"/>
      <x:c r="W22" s="210"/>
      <x:c r="X22" s="210"/>
      <x:c r="Y22" s="210"/>
      <x:c r="Z22" s="210"/>
      <x:c r="AA22" s="210"/>
      <x:c r="AB22" s="210"/>
      <x:c r="AC22" s="210"/>
      <x:c r="AD22" s="210"/>
      <x:c r="AE22" s="210"/>
      <x:c r="AF22" s="210"/>
      <x:c r="AG22" s="210"/>
      <x:c r="AH22" s="210"/>
      <x:c r="AI22" s="210"/>
      <x:c r="AJ22" s="210"/>
      <x:c r="AK22" s="210"/>
      <x:c r="AL22" s="210"/>
      <x:c r="AM22" s="210"/>
      <x:c r="AN22" s="210"/>
      <x:c r="AO22" s="210"/>
      <x:c r="AP22" s="210"/>
      <x:c r="AQ22" s="210"/>
      <x:c r="AR22" s="210"/>
      <x:c r="AS22" s="210"/>
      <x:c r="AT22" s="210"/>
      <x:c r="AU22" s="210"/>
      <x:c r="AV22" s="210"/>
      <x:c r="AW22" s="210"/>
      <x:c r="AX22" s="210"/>
      <x:c r="AY22" s="2"/>
      <x:c r="AZ22" s="2"/>
    </x:row>
    <x:row r="23" ht="13.5" customHeight="1">
      <x:c r="A23" s="2"/>
      <x:c r="B23" s="210" t="str">
        <x:v>NFR-OPS-01</x:v>
      </x:c>
      <x:c r="C23" s="210"/>
      <x:c r="D23" s="210"/>
      <x:c r="E23" s="210"/>
      <x:c r="F23" s="210"/>
      <x:c r="G23" s="210"/>
      <x:c r="H23" s="210" t="str">
        <x:v>監視</x:v>
      </x:c>
      <x:c r="I23" s="210"/>
      <x:c r="J23" s="210"/>
      <x:c r="K23" s="210"/>
      <x:c r="L23" s="210"/>
      <x:c r="M23" s="210"/>
      <x:c r="N23" s="210" t="str">
        <x:v>重大障害を5分以内に検知</x:v>
      </x:c>
      <x:c r="O23" s="210"/>
      <x:c r="P23" s="210"/>
      <x:c r="Q23" s="210"/>
      <x:c r="R23" s="210"/>
      <x:c r="S23" s="210"/>
      <x:c r="T23" s="210"/>
      <x:c r="U23" s="210"/>
      <x:c r="V23" s="210"/>
      <x:c r="W23" s="210"/>
      <x:c r="X23" s="210"/>
      <x:c r="Y23" s="210"/>
      <x:c r="Z23" s="210" t="str">
        <x:v>月次アラート訓練</x:v>
      </x:c>
      <x:c r="AA23" s="210"/>
      <x:c r="AB23" s="210"/>
      <x:c r="AC23" s="210"/>
      <x:c r="AD23" s="210"/>
      <x:c r="AE23" s="210"/>
      <x:c r="AF23" s="210"/>
      <x:c r="AG23" s="210"/>
      <x:c r="AH23" s="210"/>
      <x:c r="AI23" s="210" t="str">
        <x:v>SLO監視、DLQ件数、5xx率、DB接続数</x:v>
      </x:c>
      <x:c r="AJ23" s="210"/>
      <x:c r="AK23" s="210"/>
      <x:c r="AL23" s="210"/>
      <x:c r="AM23" s="210"/>
      <x:c r="AN23" s="210"/>
      <x:c r="AO23" s="210"/>
      <x:c r="AP23" s="210"/>
      <x:c r="AQ23" s="210"/>
      <x:c r="AR23" s="210"/>
      <x:c r="AS23" s="210" t="str">
        <x:v>条件付合意</x:v>
      </x:c>
      <x:c r="AT23" s="210"/>
      <x:c r="AU23" s="210"/>
      <x:c r="AV23" s="210"/>
      <x:c r="AW23" s="210"/>
      <x:c r="AX23" s="210"/>
      <x:c r="AY23" s="2"/>
      <x:c r="AZ23" s="2"/>
    </x:row>
    <x:row r="24" ht="13.5" customHeight="1">
      <x:c r="A24" s="2"/>
      <x:c r="B24" s="210"/>
      <x:c r="C24" s="210"/>
      <x:c r="D24" s="210"/>
      <x:c r="E24" s="210"/>
      <x:c r="F24" s="210"/>
      <x:c r="G24" s="210"/>
      <x:c r="H24" s="210"/>
      <x:c r="I24" s="210"/>
      <x:c r="J24" s="210"/>
      <x:c r="K24" s="210"/>
      <x:c r="L24" s="210"/>
      <x:c r="M24" s="210"/>
      <x:c r="N24" s="210"/>
      <x:c r="O24" s="210"/>
      <x:c r="P24" s="210"/>
      <x:c r="Q24" s="210"/>
      <x:c r="R24" s="210"/>
      <x:c r="S24" s="210"/>
      <x:c r="T24" s="210"/>
      <x:c r="U24" s="210"/>
      <x:c r="V24" s="210"/>
      <x:c r="W24" s="210"/>
      <x:c r="X24" s="210"/>
      <x:c r="Y24" s="210"/>
      <x:c r="Z24" s="210"/>
      <x:c r="AA24" s="210"/>
      <x:c r="AB24" s="210"/>
      <x:c r="AC24" s="210"/>
      <x:c r="AD24" s="210"/>
      <x:c r="AE24" s="210"/>
      <x:c r="AF24" s="210"/>
      <x:c r="AG24" s="210"/>
      <x:c r="AH24" s="210"/>
      <x:c r="AI24" s="210"/>
      <x:c r="AJ24" s="210"/>
      <x:c r="AK24" s="210"/>
      <x:c r="AL24" s="210"/>
      <x:c r="AM24" s="210"/>
      <x:c r="AN24" s="210"/>
      <x:c r="AO24" s="210"/>
      <x:c r="AP24" s="210"/>
      <x:c r="AQ24" s="210"/>
      <x:c r="AR24" s="210"/>
      <x:c r="AS24" s="210"/>
      <x:c r="AT24" s="210"/>
      <x:c r="AU24" s="210"/>
      <x:c r="AV24" s="210"/>
      <x:c r="AW24" s="210"/>
      <x:c r="AX24" s="210"/>
      <x:c r="AY24" s="2"/>
      <x:c r="AZ24" s="2"/>
    </x:row>
    <x:row r="25" ht="13.5" customHeight="1">
      <x:c r="A25" s="2"/>
      <x:c r="B25" s="210" t="str">
        <x:v>NFR-OPS-04</x:v>
      </x:c>
      <x:c r="C25" s="210"/>
      <x:c r="D25" s="210"/>
      <x:c r="E25" s="210"/>
      <x:c r="F25" s="210"/>
      <x:c r="G25" s="210"/>
      <x:c r="H25" s="210" t="str">
        <x:v>再送</x:v>
      </x:c>
      <x:c r="I25" s="210"/>
      <x:c r="J25" s="210"/>
      <x:c r="K25" s="210"/>
      <x:c r="L25" s="210"/>
      <x:c r="M25" s="210"/>
      <x:c r="N25" s="210" t="str">
        <x:v>1/5/30/120/600秒、最大5回</x:v>
      </x:c>
      <x:c r="O25" s="210"/>
      <x:c r="P25" s="210"/>
      <x:c r="Q25" s="210"/>
      <x:c r="R25" s="210"/>
      <x:c r="S25" s="210"/>
      <x:c r="T25" s="210"/>
      <x:c r="U25" s="210"/>
      <x:c r="V25" s="210"/>
      <x:c r="W25" s="210"/>
      <x:c r="X25" s="210"/>
      <x:c r="Y25" s="210"/>
      <x:c r="Z25" s="210" t="str">
        <x:v>retry_countとnext_attempt_atを照合</x:v>
      </x:c>
      <x:c r="AA25" s="210"/>
      <x:c r="AB25" s="210"/>
      <x:c r="AC25" s="210"/>
      <x:c r="AD25" s="210"/>
      <x:c r="AE25" s="210"/>
      <x:c r="AF25" s="210"/>
      <x:c r="AG25" s="210"/>
      <x:c r="AH25" s="210"/>
      <x:c r="AI25" s="210" t="str">
        <x:v>Outbox Worker、指数バックオフ、DLQ</x:v>
      </x:c>
      <x:c r="AJ25" s="210"/>
      <x:c r="AK25" s="210"/>
      <x:c r="AL25" s="210"/>
      <x:c r="AM25" s="210"/>
      <x:c r="AN25" s="210"/>
      <x:c r="AO25" s="210"/>
      <x:c r="AP25" s="210"/>
      <x:c r="AQ25" s="210"/>
      <x:c r="AR25" s="210"/>
      <x:c r="AS25" s="210" t="str">
        <x:v>合意済</x:v>
      </x:c>
      <x:c r="AT25" s="210"/>
      <x:c r="AU25" s="210"/>
      <x:c r="AV25" s="210"/>
      <x:c r="AW25" s="210"/>
      <x:c r="AX25" s="210"/>
      <x:c r="AY25" s="2"/>
      <x:c r="AZ25" s="2"/>
    </x:row>
    <x:row r="26" ht="13.5" customHeight="1">
      <x:c r="A26" s="2"/>
      <x:c r="B26" s="210"/>
      <x:c r="C26" s="210"/>
      <x:c r="D26" s="210"/>
      <x:c r="E26" s="210"/>
      <x:c r="F26" s="210"/>
      <x:c r="G26" s="210"/>
      <x:c r="H26" s="210"/>
      <x:c r="I26" s="210"/>
      <x:c r="J26" s="210"/>
      <x:c r="K26" s="210"/>
      <x:c r="L26" s="210"/>
      <x:c r="M26" s="210"/>
      <x:c r="N26" s="210"/>
      <x:c r="O26" s="210"/>
      <x:c r="P26" s="210"/>
      <x:c r="Q26" s="210"/>
      <x:c r="R26" s="210"/>
      <x:c r="S26" s="210"/>
      <x:c r="T26" s="210"/>
      <x:c r="U26" s="210"/>
      <x:c r="V26" s="210"/>
      <x:c r="W26" s="210"/>
      <x:c r="X26" s="210"/>
      <x:c r="Y26" s="210"/>
      <x:c r="Z26" s="210"/>
      <x:c r="AA26" s="210"/>
      <x:c r="AB26" s="210"/>
      <x:c r="AC26" s="210"/>
      <x:c r="AD26" s="210"/>
      <x:c r="AE26" s="210"/>
      <x:c r="AF26" s="210"/>
      <x:c r="AG26" s="210"/>
      <x:c r="AH26" s="210"/>
      <x:c r="AI26" s="210"/>
      <x:c r="AJ26" s="210"/>
      <x:c r="AK26" s="210"/>
      <x:c r="AL26" s="210"/>
      <x:c r="AM26" s="210"/>
      <x:c r="AN26" s="210"/>
      <x:c r="AO26" s="210"/>
      <x:c r="AP26" s="210"/>
      <x:c r="AQ26" s="210"/>
      <x:c r="AR26" s="210"/>
      <x:c r="AS26" s="210"/>
      <x:c r="AT26" s="210"/>
      <x:c r="AU26" s="210"/>
      <x:c r="AV26" s="210"/>
      <x:c r="AW26" s="210"/>
      <x:c r="AX26" s="210"/>
      <x:c r="AY26" s="2"/>
      <x:c r="AZ26" s="2"/>
    </x:row>
    <x:row r="27" ht="13.5" customHeight="1">
      <x:c r="A27" s="2"/>
      <x:c r="B27" s="210" t="str">
        <x:v>NFR-MNT-01</x:v>
      </x:c>
      <x:c r="C27" s="210"/>
      <x:c r="D27" s="210"/>
      <x:c r="E27" s="210"/>
      <x:c r="F27" s="210"/>
      <x:c r="G27" s="210"/>
      <x:c r="H27" s="210" t="str">
        <x:v>保守性</x:v>
      </x:c>
      <x:c r="I27" s="210"/>
      <x:c r="J27" s="210"/>
      <x:c r="K27" s="210"/>
      <x:c r="L27" s="210"/>
      <x:c r="M27" s="210"/>
      <x:c r="N27" s="210" t="str">
        <x:v>通常リリース30分以内にロールバック可能</x:v>
      </x:c>
      <x:c r="O27" s="210"/>
      <x:c r="P27" s="210"/>
      <x:c r="Q27" s="210"/>
      <x:c r="R27" s="210"/>
      <x:c r="S27" s="210"/>
      <x:c r="T27" s="210"/>
      <x:c r="U27" s="210"/>
      <x:c r="V27" s="210"/>
      <x:c r="W27" s="210"/>
      <x:c r="X27" s="210"/>
      <x:c r="Y27" s="210"/>
      <x:c r="Z27" s="210" t="str">
        <x:v>四半期に手順を実演</x:v>
      </x:c>
      <x:c r="AA27" s="210"/>
      <x:c r="AB27" s="210"/>
      <x:c r="AC27" s="210"/>
      <x:c r="AD27" s="210"/>
      <x:c r="AE27" s="210"/>
      <x:c r="AF27" s="210"/>
      <x:c r="AG27" s="210"/>
      <x:c r="AH27" s="210"/>
      <x:c r="AI27" s="210" t="str">
        <x:v>Blue/Green、DB変更はexpand/contract</x:v>
      </x:c>
      <x:c r="AJ27" s="210"/>
      <x:c r="AK27" s="210"/>
      <x:c r="AL27" s="210"/>
      <x:c r="AM27" s="210"/>
      <x:c r="AN27" s="210"/>
      <x:c r="AO27" s="210"/>
      <x:c r="AP27" s="210"/>
      <x:c r="AQ27" s="210"/>
      <x:c r="AR27" s="210"/>
      <x:c r="AS27" s="210" t="str">
        <x:v>要確認</x:v>
      </x:c>
      <x:c r="AT27" s="210"/>
      <x:c r="AU27" s="210"/>
      <x:c r="AV27" s="210"/>
      <x:c r="AW27" s="210"/>
      <x:c r="AX27" s="210"/>
      <x:c r="AY27" s="2"/>
      <x:c r="AZ27" s="2"/>
    </x:row>
    <x:row r="28" ht="13.5" customHeight="1">
      <x:c r="A28" s="2"/>
      <x:c r="B28" s="210"/>
      <x:c r="C28" s="210"/>
      <x:c r="D28" s="210"/>
      <x:c r="E28" s="210"/>
      <x:c r="F28" s="210"/>
      <x:c r="G28" s="210"/>
      <x:c r="H28" s="210"/>
      <x:c r="I28" s="210"/>
      <x:c r="J28" s="210"/>
      <x:c r="K28" s="210"/>
      <x:c r="L28" s="210"/>
      <x:c r="M28" s="210"/>
      <x:c r="N28" s="210"/>
      <x:c r="O28" s="210"/>
      <x:c r="P28" s="210"/>
      <x:c r="Q28" s="210"/>
      <x:c r="R28" s="210"/>
      <x:c r="S28" s="210"/>
      <x:c r="T28" s="210"/>
      <x:c r="U28" s="210"/>
      <x:c r="V28" s="210"/>
      <x:c r="W28" s="210"/>
      <x:c r="X28" s="210"/>
      <x:c r="Y28" s="210"/>
      <x:c r="Z28" s="210"/>
      <x:c r="AA28" s="210"/>
      <x:c r="AB28" s="210"/>
      <x:c r="AC28" s="210"/>
      <x:c r="AD28" s="210"/>
      <x:c r="AE28" s="210"/>
      <x:c r="AF28" s="210"/>
      <x:c r="AG28" s="210"/>
      <x:c r="AH28" s="210"/>
      <x:c r="AI28" s="210"/>
      <x:c r="AJ28" s="210"/>
      <x:c r="AK28" s="210"/>
      <x:c r="AL28" s="210"/>
      <x:c r="AM28" s="210"/>
      <x:c r="AN28" s="210"/>
      <x:c r="AO28" s="210"/>
      <x:c r="AP28" s="210"/>
      <x:c r="AQ28" s="210"/>
      <x:c r="AR28" s="210"/>
      <x:c r="AS28" s="210"/>
      <x:c r="AT28" s="210"/>
      <x:c r="AU28" s="210"/>
      <x:c r="AV28" s="210"/>
      <x:c r="AW28" s="210"/>
      <x:c r="AX28" s="210"/>
      <x:c r="AY28" s="2"/>
      <x:c r="AZ28" s="2"/>
    </x:row>
    <x:row r="29" ht="13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 ht="13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 ht="13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 ht="13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 ht="13.5" customHeight="1">
      <x:c r="A33" s="2"/>
      <x:c r="B33" s="77" t="str">
        <x:v>8.2 監視・障害対応マトリクス</x:v>
      </x:c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78"/>
      <x:c r="U33" s="78"/>
      <x:c r="V33" s="78"/>
      <x:c r="W33" s="78"/>
      <x:c r="X33" s="78"/>
      <x:c r="Y33" s="78"/>
      <x:c r="Z33" s="78"/>
      <x:c r="AA33" s="78"/>
      <x:c r="AB33" s="78"/>
      <x:c r="AC33" s="78"/>
      <x:c r="AD33" s="78"/>
      <x:c r="AE33" s="78"/>
      <x:c r="AF33" s="78"/>
      <x:c r="AG33" s="78"/>
      <x:c r="AH33" s="78"/>
      <x:c r="AI33" s="78"/>
      <x:c r="AJ33" s="78"/>
      <x:c r="AK33" s="78"/>
      <x:c r="AL33" s="78"/>
      <x:c r="AM33" s="78"/>
      <x:c r="AN33" s="78"/>
      <x:c r="AO33" s="78"/>
      <x:c r="AP33" s="78"/>
      <x:c r="AQ33" s="78"/>
      <x:c r="AR33" s="78"/>
      <x:c r="AS33" s="78"/>
      <x:c r="AT33" s="78"/>
      <x:c r="AU33" s="78"/>
      <x:c r="AV33" s="78"/>
      <x:c r="AW33" s="78"/>
      <x:c r="AX33" s="79"/>
      <x:c r="AY33" s="2"/>
      <x:c r="AZ33" s="2"/>
    </x:row>
    <x:row r="34" ht="13.5" customHeight="1">
      <x:c r="A34" s="2"/>
      <x:c r="B34" s="80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  <x:c r="AA34" s="81"/>
      <x:c r="AB34" s="81"/>
      <x:c r="AC34" s="81"/>
      <x:c r="AD34" s="81"/>
      <x:c r="AE34" s="81"/>
      <x:c r="AF34" s="81"/>
      <x:c r="AG34" s="81"/>
      <x:c r="AH34" s="81"/>
      <x:c r="AI34" s="81"/>
      <x:c r="AJ34" s="81"/>
      <x:c r="AK34" s="81"/>
      <x:c r="AL34" s="81"/>
      <x:c r="AM34" s="81"/>
      <x:c r="AN34" s="81"/>
      <x:c r="AO34" s="81"/>
      <x:c r="AP34" s="81"/>
      <x:c r="AQ34" s="81"/>
      <x:c r="AR34" s="81"/>
      <x:c r="AS34" s="81"/>
      <x:c r="AT34" s="81"/>
      <x:c r="AU34" s="81"/>
      <x:c r="AV34" s="81"/>
      <x:c r="AW34" s="81"/>
      <x:c r="AX34" s="82"/>
      <x:c r="AY34" s="2"/>
      <x:c r="AZ34" s="2"/>
    </x:row>
    <x:row r="35" ht="13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 ht="13.5" customHeight="1">
      <x:c r="A36" s="2"/>
      <x:c r="B36" s="127" t="str">
        <x:v>Alarm ID</x:v>
      </x:c>
      <x:c r="C36" s="127"/>
      <x:c r="D36" s="127"/>
      <x:c r="E36" s="127"/>
      <x:c r="F36" s="127"/>
      <x:c r="G36" s="127"/>
      <x:c r="H36" s="127" t="str">
        <x:v>検知条件</x:v>
      </x:c>
      <x:c r="I36" s="127"/>
      <x:c r="J36" s="127"/>
      <x:c r="K36" s="127"/>
      <x:c r="L36" s="127"/>
      <x:c r="M36" s="127"/>
      <x:c r="N36" s="127"/>
      <x:c r="O36" s="127"/>
      <x:c r="P36" s="127" t="str">
        <x:v>自動処理</x:v>
      </x:c>
      <x:c r="Q36" s="127"/>
      <x:c r="R36" s="127"/>
      <x:c r="S36" s="127"/>
      <x:c r="T36" s="127"/>
      <x:c r="U36" s="127"/>
      <x:c r="V36" s="127"/>
      <x:c r="W36" s="127"/>
      <x:c r="X36" s="127" t="str">
        <x:v>一次対応</x:v>
      </x:c>
      <x:c r="Y36" s="127"/>
      <x:c r="Z36" s="127"/>
      <x:c r="AA36" s="127"/>
      <x:c r="AB36" s="127"/>
      <x:c r="AC36" s="127"/>
      <x:c r="AD36" s="127"/>
      <x:c r="AE36" s="127"/>
      <x:c r="AF36" s="127"/>
      <x:c r="AG36" s="127" t="str">
        <x:v>エスカレーション</x:v>
      </x:c>
      <x:c r="AH36" s="127"/>
      <x:c r="AI36" s="127"/>
      <x:c r="AJ36" s="127"/>
      <x:c r="AK36" s="127"/>
      <x:c r="AL36" s="127"/>
      <x:c r="AM36" s="127"/>
      <x:c r="AN36" s="127"/>
      <x:c r="AO36" s="127"/>
      <x:c r="AP36" s="127" t="str">
        <x:v>SLA</x:v>
      </x:c>
      <x:c r="AQ36" s="127"/>
      <x:c r="AR36" s="127"/>
      <x:c r="AS36" s="127"/>
      <x:c r="AT36" s="127"/>
      <x:c r="AU36" s="127" t="str">
        <x:v>Runbook</x:v>
      </x:c>
      <x:c r="AV36" s="127"/>
      <x:c r="AW36" s="127"/>
      <x:c r="AX36" s="127"/>
      <x:c r="AY36" s="2"/>
      <x:c r="AZ36" s="2"/>
    </x:row>
    <x:row r="37" ht="13.5" customHeight="1">
      <x:c r="A37" s="2"/>
      <x:c r="B37" s="210" t="str">
        <x:v>OPS-ALM-01</x:v>
      </x:c>
      <x:c r="C37" s="210"/>
      <x:c r="D37" s="210"/>
      <x:c r="E37" s="210"/>
      <x:c r="F37" s="210"/>
      <x:c r="G37" s="210"/>
      <x:c r="H37" s="210" t="str">
        <x:v>API 5xx率 &gt; 5% / 5分</x:v>
      </x:c>
      <x:c r="I37" s="210"/>
      <x:c r="J37" s="210"/>
      <x:c r="K37" s="210"/>
      <x:c r="L37" s="210"/>
      <x:c r="M37" s="210"/>
      <x:c r="N37" s="210"/>
      <x:c r="O37" s="210"/>
      <x:c r="P37" s="210" t="str">
        <x:v>新規Pod追加、詳細ログ採取</x:v>
      </x:c>
      <x:c r="Q37" s="210"/>
      <x:c r="R37" s="210"/>
      <x:c r="S37" s="210"/>
      <x:c r="T37" s="210"/>
      <x:c r="U37" s="210"/>
      <x:c r="V37" s="210"/>
      <x:c r="W37" s="210"/>
      <x:c r="X37" s="210" t="str">
        <x:v>当番がAPM・直近リリース確認</x:v>
      </x:c>
      <x:c r="Y37" s="210"/>
      <x:c r="Z37" s="210"/>
      <x:c r="AA37" s="210"/>
      <x:c r="AB37" s="210"/>
      <x:c r="AC37" s="210"/>
      <x:c r="AD37" s="210"/>
      <x:c r="AE37" s="210"/>
      <x:c r="AF37" s="210"/>
      <x:c r="AG37" s="210" t="str">
        <x:v>15分継続で開発責任者</x:v>
      </x:c>
      <x:c r="AH37" s="210"/>
      <x:c r="AI37" s="210"/>
      <x:c r="AJ37" s="210"/>
      <x:c r="AK37" s="210"/>
      <x:c r="AL37" s="210"/>
      <x:c r="AM37" s="210"/>
      <x:c r="AN37" s="210"/>
      <x:c r="AO37" s="210"/>
      <x:c r="AP37" s="210" t="str">
        <x:v>5分</x:v>
      </x:c>
      <x:c r="AQ37" s="210"/>
      <x:c r="AR37" s="210"/>
      <x:c r="AS37" s="210"/>
      <x:c r="AT37" s="210"/>
      <x:c r="AU37" s="210" t="str">
        <x:v>RB-API-01</x:v>
      </x:c>
      <x:c r="AV37" s="210"/>
      <x:c r="AW37" s="210"/>
      <x:c r="AX37" s="210"/>
      <x:c r="AY37" s="2"/>
      <x:c r="AZ37" s="2"/>
    </x:row>
    <x:row r="38" ht="13.5" customHeight="1">
      <x:c r="A38" s="2"/>
      <x:c r="B38" s="210"/>
      <x:c r="C38" s="210"/>
      <x:c r="D38" s="210"/>
      <x:c r="E38" s="210"/>
      <x:c r="F38" s="210"/>
      <x:c r="G38" s="210"/>
      <x:c r="H38" s="210"/>
      <x:c r="I38" s="210"/>
      <x:c r="J38" s="210"/>
      <x:c r="K38" s="210"/>
      <x:c r="L38" s="210"/>
      <x:c r="M38" s="210"/>
      <x:c r="N38" s="210"/>
      <x:c r="O38" s="210"/>
      <x:c r="P38" s="210"/>
      <x:c r="Q38" s="210"/>
      <x:c r="R38" s="210"/>
      <x:c r="S38" s="210"/>
      <x:c r="T38" s="210"/>
      <x:c r="U38" s="210"/>
      <x:c r="V38" s="210"/>
      <x:c r="W38" s="210"/>
      <x:c r="X38" s="210"/>
      <x:c r="Y38" s="210"/>
      <x:c r="Z38" s="210"/>
      <x:c r="AA38" s="210"/>
      <x:c r="AB38" s="210"/>
      <x:c r="AC38" s="210"/>
      <x:c r="AD38" s="210"/>
      <x:c r="AE38" s="210"/>
      <x:c r="AF38" s="210"/>
      <x:c r="AG38" s="210"/>
      <x:c r="AH38" s="210"/>
      <x:c r="AI38" s="210"/>
      <x:c r="AJ38" s="210"/>
      <x:c r="AK38" s="210"/>
      <x:c r="AL38" s="210"/>
      <x:c r="AM38" s="210"/>
      <x:c r="AN38" s="210"/>
      <x:c r="AO38" s="210"/>
      <x:c r="AP38" s="210"/>
      <x:c r="AQ38" s="210"/>
      <x:c r="AR38" s="210"/>
      <x:c r="AS38" s="210"/>
      <x:c r="AT38" s="210"/>
      <x:c r="AU38" s="210"/>
      <x:c r="AV38" s="210"/>
      <x:c r="AW38" s="210"/>
      <x:c r="AX38" s="210"/>
      <x:c r="AY38" s="2"/>
      <x:c r="AZ38" s="2"/>
    </x:row>
    <x:row r="39" ht="13.5" customHeight="1">
      <x:c r="A39" s="2"/>
      <x:c r="B39" s="210" t="str">
        <x:v>OPS-ALM-02</x:v>
      </x:c>
      <x:c r="C39" s="210"/>
      <x:c r="D39" s="210"/>
      <x:c r="E39" s="210"/>
      <x:c r="F39" s="210"/>
      <x:c r="G39" s="210"/>
      <x:c r="H39" s="210" t="str">
        <x:v>DLQ件数 &gt;= 1</x:v>
      </x:c>
      <x:c r="I39" s="210"/>
      <x:c r="J39" s="210"/>
      <x:c r="K39" s="210"/>
      <x:c r="L39" s="210"/>
      <x:c r="M39" s="210"/>
      <x:c r="N39" s="210"/>
      <x:c r="O39" s="210"/>
      <x:c r="P39" s="210" t="str">
        <x:v>対象event_idを凍結</x:v>
      </x:c>
      <x:c r="Q39" s="210"/>
      <x:c r="R39" s="210"/>
      <x:c r="S39" s="210"/>
      <x:c r="T39" s="210"/>
      <x:c r="U39" s="210"/>
      <x:c r="V39" s="210"/>
      <x:c r="W39" s="210"/>
      <x:c r="X39" s="210" t="str">
        <x:v>原因I/Fとpayload schema確認</x:v>
      </x:c>
      <x:c r="Y39" s="210"/>
      <x:c r="Z39" s="210"/>
      <x:c r="AA39" s="210"/>
      <x:c r="AB39" s="210"/>
      <x:c r="AC39" s="210"/>
      <x:c r="AD39" s="210"/>
      <x:c r="AE39" s="210"/>
      <x:c r="AF39" s="210"/>
      <x:c r="AG39" s="210" t="str">
        <x:v>30分で経理・基盤へ連絡</x:v>
      </x:c>
      <x:c r="AH39" s="210"/>
      <x:c r="AI39" s="210"/>
      <x:c r="AJ39" s="210"/>
      <x:c r="AK39" s="210"/>
      <x:c r="AL39" s="210"/>
      <x:c r="AM39" s="210"/>
      <x:c r="AN39" s="210"/>
      <x:c r="AO39" s="210"/>
      <x:c r="AP39" s="210" t="str">
        <x:v>即時</x:v>
      </x:c>
      <x:c r="AQ39" s="210"/>
      <x:c r="AR39" s="210"/>
      <x:c r="AS39" s="210"/>
      <x:c r="AT39" s="210"/>
      <x:c r="AU39" s="210" t="str">
        <x:v>RB-EVT-02</x:v>
      </x:c>
      <x:c r="AV39" s="210"/>
      <x:c r="AW39" s="210"/>
      <x:c r="AX39" s="210"/>
      <x:c r="AY39" s="2"/>
      <x:c r="AZ39" s="2"/>
    </x:row>
    <x:row r="40" ht="13.5" customHeight="1">
      <x:c r="A40" s="2"/>
      <x:c r="B40" s="210"/>
      <x:c r="C40" s="210"/>
      <x:c r="D40" s="210"/>
      <x:c r="E40" s="210"/>
      <x:c r="F40" s="210"/>
      <x:c r="G40" s="210"/>
      <x:c r="H40" s="210"/>
      <x:c r="I40" s="210"/>
      <x:c r="J40" s="210"/>
      <x:c r="K40" s="210"/>
      <x:c r="L40" s="210"/>
      <x:c r="M40" s="210"/>
      <x:c r="N40" s="210"/>
      <x:c r="O40" s="210"/>
      <x:c r="P40" s="210"/>
      <x:c r="Q40" s="210"/>
      <x:c r="R40" s="210"/>
      <x:c r="S40" s="210"/>
      <x:c r="T40" s="210"/>
      <x:c r="U40" s="210"/>
      <x:c r="V40" s="210"/>
      <x:c r="W40" s="210"/>
      <x:c r="X40" s="210"/>
      <x:c r="Y40" s="210"/>
      <x:c r="Z40" s="210"/>
      <x:c r="AA40" s="210"/>
      <x:c r="AB40" s="210"/>
      <x:c r="AC40" s="210"/>
      <x:c r="AD40" s="210"/>
      <x:c r="AE40" s="210"/>
      <x:c r="AF40" s="210"/>
      <x:c r="AG40" s="210"/>
      <x:c r="AH40" s="210"/>
      <x:c r="AI40" s="210"/>
      <x:c r="AJ40" s="210"/>
      <x:c r="AK40" s="210"/>
      <x:c r="AL40" s="210"/>
      <x:c r="AM40" s="210"/>
      <x:c r="AN40" s="210"/>
      <x:c r="AO40" s="210"/>
      <x:c r="AP40" s="210"/>
      <x:c r="AQ40" s="210"/>
      <x:c r="AR40" s="210"/>
      <x:c r="AS40" s="210"/>
      <x:c r="AT40" s="210"/>
      <x:c r="AU40" s="210"/>
      <x:c r="AV40" s="210"/>
      <x:c r="AW40" s="210"/>
      <x:c r="AX40" s="210"/>
      <x:c r="AY40" s="2"/>
      <x:c r="AZ40" s="2"/>
    </x:row>
    <x:row r="41" ht="13.5" customHeight="1">
      <x:c r="A41" s="2"/>
      <x:c r="B41" s="210" t="str">
        <x:v>OPS-ALM-03</x:v>
      </x:c>
      <x:c r="C41" s="210"/>
      <x:c r="D41" s="210"/>
      <x:c r="E41" s="210"/>
      <x:c r="F41" s="210"/>
      <x:c r="G41" s="210"/>
      <x:c r="H41" s="210" t="str">
        <x:v>DB接続使用率 &gt; 80% / 10分</x:v>
      </x:c>
      <x:c r="I41" s="210"/>
      <x:c r="J41" s="210"/>
      <x:c r="K41" s="210"/>
      <x:c r="L41" s="210"/>
      <x:c r="M41" s="210"/>
      <x:c r="N41" s="210"/>
      <x:c r="O41" s="210"/>
      <x:c r="P41" s="210" t="str">
        <x:v>接続プール上限を維持</x:v>
      </x:c>
      <x:c r="Q41" s="210"/>
      <x:c r="R41" s="210"/>
      <x:c r="S41" s="210"/>
      <x:c r="T41" s="210"/>
      <x:c r="U41" s="210"/>
      <x:c r="V41" s="210"/>
      <x:c r="W41" s="210"/>
      <x:c r="X41" s="210" t="str">
        <x:v>長時間SQL・lockを確認</x:v>
      </x:c>
      <x:c r="Y41" s="210"/>
      <x:c r="Z41" s="210"/>
      <x:c r="AA41" s="210"/>
      <x:c r="AB41" s="210"/>
      <x:c r="AC41" s="210"/>
      <x:c r="AD41" s="210"/>
      <x:c r="AE41" s="210"/>
      <x:c r="AF41" s="210"/>
      <x:c r="AG41" s="210" t="str">
        <x:v>30分でDB担当</x:v>
      </x:c>
      <x:c r="AH41" s="210"/>
      <x:c r="AI41" s="210"/>
      <x:c r="AJ41" s="210"/>
      <x:c r="AK41" s="210"/>
      <x:c r="AL41" s="210"/>
      <x:c r="AM41" s="210"/>
      <x:c r="AN41" s="210"/>
      <x:c r="AO41" s="210"/>
      <x:c r="AP41" s="210" t="str">
        <x:v>10分</x:v>
      </x:c>
      <x:c r="AQ41" s="210"/>
      <x:c r="AR41" s="210"/>
      <x:c r="AS41" s="210"/>
      <x:c r="AT41" s="210"/>
      <x:c r="AU41" s="210" t="str">
        <x:v>RB-DB-03</x:v>
      </x:c>
      <x:c r="AV41" s="210"/>
      <x:c r="AW41" s="210"/>
      <x:c r="AX41" s="210"/>
      <x:c r="AY41" s="2"/>
      <x:c r="AZ41" s="2"/>
    </x:row>
    <x:row r="42" ht="13.5" customHeight="1">
      <x:c r="A42" s="2"/>
      <x:c r="B42" s="210"/>
      <x:c r="C42" s="210"/>
      <x:c r="D42" s="210"/>
      <x:c r="E42" s="210"/>
      <x:c r="F42" s="210"/>
      <x:c r="G42" s="210"/>
      <x:c r="H42" s="210"/>
      <x:c r="I42" s="210"/>
      <x:c r="J42" s="210"/>
      <x:c r="K42" s="210"/>
      <x:c r="L42" s="210"/>
      <x:c r="M42" s="210"/>
      <x:c r="N42" s="210"/>
      <x:c r="O42" s="210"/>
      <x:c r="P42" s="210"/>
      <x:c r="Q42" s="210"/>
      <x:c r="R42" s="210"/>
      <x:c r="S42" s="210"/>
      <x:c r="T42" s="210"/>
      <x:c r="U42" s="210"/>
      <x:c r="V42" s="210"/>
      <x:c r="W42" s="210"/>
      <x:c r="X42" s="210"/>
      <x:c r="Y42" s="210"/>
      <x:c r="Z42" s="210"/>
      <x:c r="AA42" s="210"/>
      <x:c r="AB42" s="210"/>
      <x:c r="AC42" s="210"/>
      <x:c r="AD42" s="210"/>
      <x:c r="AE42" s="210"/>
      <x:c r="AF42" s="210"/>
      <x:c r="AG42" s="210"/>
      <x:c r="AH42" s="210"/>
      <x:c r="AI42" s="210"/>
      <x:c r="AJ42" s="210"/>
      <x:c r="AK42" s="210"/>
      <x:c r="AL42" s="210"/>
      <x:c r="AM42" s="210"/>
      <x:c r="AN42" s="210"/>
      <x:c r="AO42" s="210"/>
      <x:c r="AP42" s="210"/>
      <x:c r="AQ42" s="210"/>
      <x:c r="AR42" s="210"/>
      <x:c r="AS42" s="210"/>
      <x:c r="AT42" s="210"/>
      <x:c r="AU42" s="210"/>
      <x:c r="AV42" s="210"/>
      <x:c r="AW42" s="210"/>
      <x:c r="AX42" s="210"/>
      <x:c r="AY42" s="2"/>
      <x:c r="AZ42" s="2"/>
    </x:row>
    <x:row r="43" ht="13.5" customHeight="1">
      <x:c r="A43" s="2"/>
      <x:c r="B43" s="210" t="str">
        <x:v>OPS-ALM-04</x:v>
      </x:c>
      <x:c r="C43" s="210"/>
      <x:c r="D43" s="210"/>
      <x:c r="E43" s="210"/>
      <x:c r="F43" s="210"/>
      <x:c r="G43" s="210"/>
      <x:c r="H43" s="210" t="str">
        <x:v>会計I/F timeout 3回 / 5分</x:v>
      </x:c>
      <x:c r="I43" s="210"/>
      <x:c r="J43" s="210"/>
      <x:c r="K43" s="210"/>
      <x:c r="L43" s="210"/>
      <x:c r="M43" s="210"/>
      <x:c r="N43" s="210"/>
      <x:c r="O43" s="210"/>
      <x:c r="P43" s="210" t="str">
        <x:v>サーキットをopen、再送へ退避</x:v>
      </x:c>
      <x:c r="Q43" s="210"/>
      <x:c r="R43" s="210"/>
      <x:c r="S43" s="210"/>
      <x:c r="T43" s="210"/>
      <x:c r="U43" s="210"/>
      <x:c r="V43" s="210"/>
      <x:c r="W43" s="210"/>
      <x:c r="X43" s="210" t="str">
        <x:v>会計側稼働予定を確認</x:v>
      </x:c>
      <x:c r="Y43" s="210"/>
      <x:c r="Z43" s="210"/>
      <x:c r="AA43" s="210"/>
      <x:c r="AB43" s="210"/>
      <x:c r="AC43" s="210"/>
      <x:c r="AD43" s="210"/>
      <x:c r="AE43" s="210"/>
      <x:c r="AF43" s="210"/>
      <x:c r="AG43" s="210" t="str">
        <x:v>15分で経理主管</x:v>
      </x:c>
      <x:c r="AH43" s="210"/>
      <x:c r="AI43" s="210"/>
      <x:c r="AJ43" s="210"/>
      <x:c r="AK43" s="210"/>
      <x:c r="AL43" s="210"/>
      <x:c r="AM43" s="210"/>
      <x:c r="AN43" s="210"/>
      <x:c r="AO43" s="210"/>
      <x:c r="AP43" s="210" t="str">
        <x:v>5分</x:v>
      </x:c>
      <x:c r="AQ43" s="210"/>
      <x:c r="AR43" s="210"/>
      <x:c r="AS43" s="210"/>
      <x:c r="AT43" s="210"/>
      <x:c r="AU43" s="210" t="str">
        <x:v>RB-IF-04</x:v>
      </x:c>
      <x:c r="AV43" s="210"/>
      <x:c r="AW43" s="210"/>
      <x:c r="AX43" s="210"/>
      <x:c r="AY43" s="2"/>
      <x:c r="AZ43" s="2"/>
    </x:row>
    <x:row r="44" ht="13.5" customHeight="1">
      <x:c r="A44" s="2"/>
      <x:c r="B44" s="210"/>
      <x:c r="C44" s="210"/>
      <x:c r="D44" s="210"/>
      <x:c r="E44" s="210"/>
      <x:c r="F44" s="210"/>
      <x:c r="G44" s="210"/>
      <x:c r="H44" s="210"/>
      <x:c r="I44" s="210"/>
      <x:c r="J44" s="210"/>
      <x:c r="K44" s="210"/>
      <x:c r="L44" s="210"/>
      <x:c r="M44" s="210"/>
      <x:c r="N44" s="210"/>
      <x:c r="O44" s="210"/>
      <x:c r="P44" s="210"/>
      <x:c r="Q44" s="210"/>
      <x:c r="R44" s="210"/>
      <x:c r="S44" s="210"/>
      <x:c r="T44" s="210"/>
      <x:c r="U44" s="210"/>
      <x:c r="V44" s="210"/>
      <x:c r="W44" s="210"/>
      <x:c r="X44" s="210"/>
      <x:c r="Y44" s="210"/>
      <x:c r="Z44" s="210"/>
      <x:c r="AA44" s="210"/>
      <x:c r="AB44" s="210"/>
      <x:c r="AC44" s="210"/>
      <x:c r="AD44" s="210"/>
      <x:c r="AE44" s="210"/>
      <x:c r="AF44" s="210"/>
      <x:c r="AG44" s="210"/>
      <x:c r="AH44" s="210"/>
      <x:c r="AI44" s="210"/>
      <x:c r="AJ44" s="210"/>
      <x:c r="AK44" s="210"/>
      <x:c r="AL44" s="210"/>
      <x:c r="AM44" s="210"/>
      <x:c r="AN44" s="210"/>
      <x:c r="AO44" s="210"/>
      <x:c r="AP44" s="210"/>
      <x:c r="AQ44" s="210"/>
      <x:c r="AR44" s="210"/>
      <x:c r="AS44" s="210"/>
      <x:c r="AT44" s="210"/>
      <x:c r="AU44" s="210"/>
      <x:c r="AV44" s="210"/>
      <x:c r="AW44" s="210"/>
      <x:c r="AX44" s="210"/>
      <x:c r="AY44" s="2"/>
      <x:c r="AZ44" s="2"/>
    </x:row>
    <x:row r="45" ht="13.5" customHeight="1">
      <x:c r="A45" s="2"/>
      <x:c r="B45" s="210" t="str">
        <x:v>OPS-ALM-05</x:v>
      </x:c>
      <x:c r="C45" s="210"/>
      <x:c r="D45" s="210"/>
      <x:c r="E45" s="210"/>
      <x:c r="F45" s="210"/>
      <x:c r="G45" s="210"/>
      <x:c r="H45" s="210" t="str">
        <x:v>監査ログ欠落 &gt;= 1</x:v>
      </x:c>
      <x:c r="I45" s="210"/>
      <x:c r="J45" s="210"/>
      <x:c r="K45" s="210"/>
      <x:c r="L45" s="210"/>
      <x:c r="M45" s="210"/>
      <x:c r="N45" s="210"/>
      <x:c r="O45" s="210"/>
      <x:c r="P45" s="210" t="str">
        <x:v>状態更新APIを縮退モードへ</x:v>
      </x:c>
      <x:c r="Q45" s="210"/>
      <x:c r="R45" s="210"/>
      <x:c r="S45" s="210"/>
      <x:c r="T45" s="210"/>
      <x:c r="U45" s="210"/>
      <x:c r="V45" s="210"/>
      <x:c r="W45" s="210"/>
      <x:c r="X45" s="210" t="str">
        <x:v>欠落範囲と書込先を保全</x:v>
      </x:c>
      <x:c r="Y45" s="210"/>
      <x:c r="Z45" s="210"/>
      <x:c r="AA45" s="210"/>
      <x:c r="AB45" s="210"/>
      <x:c r="AC45" s="210"/>
      <x:c r="AD45" s="210"/>
      <x:c r="AE45" s="210"/>
      <x:c r="AF45" s="210"/>
      <x:c r="AG45" s="210" t="str">
        <x:v>即時に責任者・監査担当</x:v>
      </x:c>
      <x:c r="AH45" s="210"/>
      <x:c r="AI45" s="210"/>
      <x:c r="AJ45" s="210"/>
      <x:c r="AK45" s="210"/>
      <x:c r="AL45" s="210"/>
      <x:c r="AM45" s="210"/>
      <x:c r="AN45" s="210"/>
      <x:c r="AO45" s="210"/>
      <x:c r="AP45" s="210" t="str">
        <x:v>即時</x:v>
      </x:c>
      <x:c r="AQ45" s="210"/>
      <x:c r="AR45" s="210"/>
      <x:c r="AS45" s="210"/>
      <x:c r="AT45" s="210"/>
      <x:c r="AU45" s="210" t="str">
        <x:v>RB-AUD-05</x:v>
      </x:c>
      <x:c r="AV45" s="210"/>
      <x:c r="AW45" s="210"/>
      <x:c r="AX45" s="210"/>
      <x:c r="AY45" s="2"/>
      <x:c r="AZ45" s="2"/>
    </x:row>
    <x:row r="46" ht="13.5" customHeight="1">
      <x:c r="A46" s="2"/>
      <x:c r="B46" s="210"/>
      <x:c r="C46" s="210"/>
      <x:c r="D46" s="210"/>
      <x:c r="E46" s="210"/>
      <x:c r="F46" s="210"/>
      <x:c r="G46" s="210"/>
      <x:c r="H46" s="210"/>
      <x:c r="I46" s="210"/>
      <x:c r="J46" s="210"/>
      <x:c r="K46" s="210"/>
      <x:c r="L46" s="210"/>
      <x:c r="M46" s="210"/>
      <x:c r="N46" s="210"/>
      <x:c r="O46" s="210"/>
      <x:c r="P46" s="210"/>
      <x:c r="Q46" s="210"/>
      <x:c r="R46" s="210"/>
      <x:c r="S46" s="210"/>
      <x:c r="T46" s="210"/>
      <x:c r="U46" s="210"/>
      <x:c r="V46" s="210"/>
      <x:c r="W46" s="210"/>
      <x:c r="X46" s="210"/>
      <x:c r="Y46" s="210"/>
      <x:c r="Z46" s="210"/>
      <x:c r="AA46" s="210"/>
      <x:c r="AB46" s="210"/>
      <x:c r="AC46" s="210"/>
      <x:c r="AD46" s="210"/>
      <x:c r="AE46" s="210"/>
      <x:c r="AF46" s="210"/>
      <x:c r="AG46" s="210"/>
      <x:c r="AH46" s="210"/>
      <x:c r="AI46" s="210"/>
      <x:c r="AJ46" s="210"/>
      <x:c r="AK46" s="210"/>
      <x:c r="AL46" s="210"/>
      <x:c r="AM46" s="210"/>
      <x:c r="AN46" s="210"/>
      <x:c r="AO46" s="210"/>
      <x:c r="AP46" s="210"/>
      <x:c r="AQ46" s="210"/>
      <x:c r="AR46" s="210"/>
      <x:c r="AS46" s="210"/>
      <x:c r="AT46" s="210"/>
      <x:c r="AU46" s="210"/>
      <x:c r="AV46" s="210"/>
      <x:c r="AW46" s="210"/>
      <x:c r="AX46" s="210"/>
      <x:c r="AY46" s="2"/>
      <x:c r="AZ46" s="2"/>
    </x:row>
    <x:row r="47" ht="13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 ht="13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 ht="13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 ht="13.5" customHeight="1">
      <x:c r="A50" s="2"/>
      <x:c r="B50" s="77" t="str">
        <x:v>8.3 設計判断・未決事項</x:v>
      </x:c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78"/>
      <x:c r="U50" s="78"/>
      <x:c r="V50" s="78"/>
      <x:c r="W50" s="78"/>
      <x:c r="X50" s="78"/>
      <x:c r="Y50" s="78"/>
      <x:c r="Z50" s="78"/>
      <x:c r="AA50" s="78"/>
      <x:c r="AB50" s="78"/>
      <x:c r="AC50" s="78"/>
      <x:c r="AD50" s="78"/>
      <x:c r="AE50" s="78"/>
      <x:c r="AF50" s="78"/>
      <x:c r="AG50" s="78"/>
      <x:c r="AH50" s="78"/>
      <x:c r="AI50" s="78"/>
      <x:c r="AJ50" s="78"/>
      <x:c r="AK50" s="78"/>
      <x:c r="AL50" s="78"/>
      <x:c r="AM50" s="78"/>
      <x:c r="AN50" s="78"/>
      <x:c r="AO50" s="78"/>
      <x:c r="AP50" s="78"/>
      <x:c r="AQ50" s="78"/>
      <x:c r="AR50" s="78"/>
      <x:c r="AS50" s="78"/>
      <x:c r="AT50" s="78"/>
      <x:c r="AU50" s="78"/>
      <x:c r="AV50" s="78"/>
      <x:c r="AW50" s="78"/>
      <x:c r="AX50" s="79"/>
      <x:c r="AY50" s="2"/>
      <x:c r="AZ50" s="2"/>
    </x:row>
    <x:row r="51" ht="13.5" customHeight="1">
      <x:c r="A51" s="2"/>
      <x:c r="B51" s="80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  <x:c r="AA51" s="81"/>
      <x:c r="AB51" s="81"/>
      <x:c r="AC51" s="81"/>
      <x:c r="AD51" s="81"/>
      <x:c r="AE51" s="81"/>
      <x:c r="AF51" s="81"/>
      <x:c r="AG51" s="81"/>
      <x:c r="AH51" s="81"/>
      <x:c r="AI51" s="81"/>
      <x:c r="AJ51" s="81"/>
      <x:c r="AK51" s="81"/>
      <x:c r="AL51" s="81"/>
      <x:c r="AM51" s="81"/>
      <x:c r="AN51" s="81"/>
      <x:c r="AO51" s="81"/>
      <x:c r="AP51" s="81"/>
      <x:c r="AQ51" s="81"/>
      <x:c r="AR51" s="81"/>
      <x:c r="AS51" s="81"/>
      <x:c r="AT51" s="81"/>
      <x:c r="AU51" s="81"/>
      <x:c r="AV51" s="81"/>
      <x:c r="AW51" s="81"/>
      <x:c r="AX51" s="82"/>
      <x:c r="AY51" s="2"/>
      <x:c r="AZ51" s="2"/>
    </x:row>
    <x:row r="52" ht="13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 ht="13.5" customHeight="1">
      <x:c r="A53" s="2"/>
      <x:c r="B53" s="127" t="str">
        <x:v>ID</x:v>
      </x:c>
      <x:c r="C53" s="127"/>
      <x:c r="D53" s="127"/>
      <x:c r="E53" s="127"/>
      <x:c r="F53" s="127"/>
      <x:c r="G53" s="127"/>
      <x:c r="H53" s="127" t="str">
        <x:v>論点</x:v>
      </x:c>
      <x:c r="I53" s="127"/>
      <x:c r="J53" s="127"/>
      <x:c r="K53" s="127"/>
      <x:c r="L53" s="127"/>
      <x:c r="M53" s="127"/>
      <x:c r="N53" s="127"/>
      <x:c r="O53" s="127"/>
      <x:c r="P53" s="127"/>
      <x:c r="Q53" s="127"/>
      <x:c r="R53" s="127" t="str">
        <x:v>現時点の判断／選択肢</x:v>
      </x:c>
      <x:c r="S53" s="127"/>
      <x:c r="T53" s="127"/>
      <x:c r="U53" s="127"/>
      <x:c r="V53" s="127"/>
      <x:c r="W53" s="127"/>
      <x:c r="X53" s="127"/>
      <x:c r="Y53" s="127"/>
      <x:c r="Z53" s="127"/>
      <x:c r="AA53" s="127"/>
      <x:c r="AB53" s="127"/>
      <x:c r="AC53" s="127"/>
      <x:c r="AD53" s="127"/>
      <x:c r="AE53" s="127"/>
      <x:c r="AF53" s="127"/>
      <x:c r="AG53" s="127"/>
      <x:c r="AH53" s="127" t="str">
        <x:v>Owner</x:v>
      </x:c>
      <x:c r="AI53" s="127"/>
      <x:c r="AJ53" s="127"/>
      <x:c r="AK53" s="127"/>
      <x:c r="AL53" s="127"/>
      <x:c r="AM53" s="127"/>
      <x:c r="AN53" s="127" t="str">
        <x:v>期限</x:v>
      </x:c>
      <x:c r="AO53" s="127"/>
      <x:c r="AP53" s="127"/>
      <x:c r="AQ53" s="127"/>
      <x:c r="AR53" s="127"/>
      <x:c r="AS53" s="127" t="str">
        <x:v>Status</x:v>
      </x:c>
      <x:c r="AT53" s="127"/>
      <x:c r="AU53" s="127"/>
      <x:c r="AV53" s="127"/>
      <x:c r="AW53" s="127"/>
      <x:c r="AX53" s="127"/>
      <x:c r="AY53" s="2"/>
      <x:c r="AZ53" s="2"/>
    </x:row>
    <x:row r="54" ht="13.5" customHeight="1">
      <x:c r="A54" s="2"/>
      <x:c r="B54" s="210" t="str">
        <x:v>ADR-001</x:v>
      </x:c>
      <x:c r="C54" s="210"/>
      <x:c r="D54" s="210"/>
      <x:c r="E54" s="210"/>
      <x:c r="F54" s="210"/>
      <x:c r="G54" s="210"/>
      <x:c r="H54" s="210" t="str">
        <x:v>イベント原子性</x:v>
      </x:c>
      <x:c r="I54" s="210"/>
      <x:c r="J54" s="210"/>
      <x:c r="K54" s="210"/>
      <x:c r="L54" s="210"/>
      <x:c r="M54" s="210"/>
      <x:c r="N54" s="210"/>
      <x:c r="O54" s="210"/>
      <x:c r="P54" s="210"/>
      <x:c r="Q54" s="210"/>
      <x:c r="R54" s="210" t="str">
        <x:v>Transactional Outboxを採用</x:v>
      </x:c>
      <x:c r="S54" s="210"/>
      <x:c r="T54" s="210"/>
      <x:c r="U54" s="210"/>
      <x:c r="V54" s="210"/>
      <x:c r="W54" s="210"/>
      <x:c r="X54" s="210"/>
      <x:c r="Y54" s="210"/>
      <x:c r="Z54" s="210"/>
      <x:c r="AA54" s="210"/>
      <x:c r="AB54" s="210"/>
      <x:c r="AC54" s="210"/>
      <x:c r="AD54" s="210"/>
      <x:c r="AE54" s="210"/>
      <x:c r="AF54" s="210"/>
      <x:c r="AG54" s="210"/>
      <x:c r="AH54" s="210" t="str">
        <x:v>アプリTL</x:v>
      </x:c>
      <x:c r="AI54" s="210"/>
      <x:c r="AJ54" s="210"/>
      <x:c r="AK54" s="210"/>
      <x:c r="AL54" s="210"/>
      <x:c r="AM54" s="210"/>
      <x:c r="AN54" s="210" t="str">
        <x:v>2026-08-23</x:v>
      </x:c>
      <x:c r="AO54" s="210"/>
      <x:c r="AP54" s="210"/>
      <x:c r="AQ54" s="210"/>
      <x:c r="AR54" s="210"/>
      <x:c r="AS54" s="210" t="str">
        <x:v>採用</x:v>
      </x:c>
      <x:c r="AT54" s="210"/>
      <x:c r="AU54" s="210"/>
      <x:c r="AV54" s="210"/>
      <x:c r="AW54" s="210"/>
      <x:c r="AX54" s="210"/>
      <x:c r="AY54" s="2"/>
      <x:c r="AZ54" s="2"/>
    </x:row>
    <x:row r="55" ht="13.5" customHeight="1">
      <x:c r="A55" s="2"/>
      <x:c r="B55" s="210"/>
      <x:c r="C55" s="210"/>
      <x:c r="D55" s="210"/>
      <x:c r="E55" s="210"/>
      <x:c r="F55" s="210"/>
      <x:c r="G55" s="210"/>
      <x:c r="H55" s="210"/>
      <x:c r="I55" s="210"/>
      <x:c r="J55" s="210"/>
      <x:c r="K55" s="210"/>
      <x:c r="L55" s="210"/>
      <x:c r="M55" s="210"/>
      <x:c r="N55" s="210"/>
      <x:c r="O55" s="210"/>
      <x:c r="P55" s="210"/>
      <x:c r="Q55" s="210"/>
      <x:c r="R55" s="210"/>
      <x:c r="S55" s="210"/>
      <x:c r="T55" s="210"/>
      <x:c r="U55" s="210"/>
      <x:c r="V55" s="210"/>
      <x:c r="W55" s="210"/>
      <x:c r="X55" s="210"/>
      <x:c r="Y55" s="210"/>
      <x:c r="Z55" s="210"/>
      <x:c r="AA55" s="210"/>
      <x:c r="AB55" s="210"/>
      <x:c r="AC55" s="210"/>
      <x:c r="AD55" s="210"/>
      <x:c r="AE55" s="210"/>
      <x:c r="AF55" s="210"/>
      <x:c r="AG55" s="210"/>
      <x:c r="AH55" s="210"/>
      <x:c r="AI55" s="210"/>
      <x:c r="AJ55" s="210"/>
      <x:c r="AK55" s="210"/>
      <x:c r="AL55" s="210"/>
      <x:c r="AM55" s="210"/>
      <x:c r="AN55" s="210"/>
      <x:c r="AO55" s="210"/>
      <x:c r="AP55" s="210"/>
      <x:c r="AQ55" s="210"/>
      <x:c r="AR55" s="210"/>
      <x:c r="AS55" s="210"/>
      <x:c r="AT55" s="210"/>
      <x:c r="AU55" s="210"/>
      <x:c r="AV55" s="210"/>
      <x:c r="AW55" s="210"/>
      <x:c r="AX55" s="210"/>
      <x:c r="AY55" s="2"/>
      <x:c r="AZ55" s="2"/>
    </x:row>
    <x:row r="56" ht="13.5" customHeight="1">
      <x:c r="A56" s="2"/>
      <x:c r="B56" s="210" t="str">
        <x:v>ADR-002</x:v>
      </x:c>
      <x:c r="C56" s="210"/>
      <x:c r="D56" s="210"/>
      <x:c r="E56" s="210"/>
      <x:c r="F56" s="210"/>
      <x:c r="G56" s="210"/>
      <x:c r="H56" s="210" t="str">
        <x:v>承認連携方式</x:v>
      </x:c>
      <x:c r="I56" s="210"/>
      <x:c r="J56" s="210"/>
      <x:c r="K56" s="210"/>
      <x:c r="L56" s="210"/>
      <x:c r="M56" s="210"/>
      <x:c r="N56" s="210"/>
      <x:c r="O56" s="210"/>
      <x:c r="P56" s="210"/>
      <x:c r="Q56" s="210"/>
      <x:c r="R56" s="210" t="str">
        <x:v>同期RESTではなくEvent Bus経由</x:v>
      </x:c>
      <x:c r="S56" s="210"/>
      <x:c r="T56" s="210"/>
      <x:c r="U56" s="210"/>
      <x:c r="V56" s="210"/>
      <x:c r="W56" s="210"/>
      <x:c r="X56" s="210"/>
      <x:c r="Y56" s="210"/>
      <x:c r="Z56" s="210"/>
      <x:c r="AA56" s="210"/>
      <x:c r="AB56" s="210"/>
      <x:c r="AC56" s="210"/>
      <x:c r="AD56" s="210"/>
      <x:c r="AE56" s="210"/>
      <x:c r="AF56" s="210"/>
      <x:c r="AG56" s="210"/>
      <x:c r="AH56" s="210" t="str">
        <x:v>基盤TL</x:v>
      </x:c>
      <x:c r="AI56" s="210"/>
      <x:c r="AJ56" s="210"/>
      <x:c r="AK56" s="210"/>
      <x:c r="AL56" s="210"/>
      <x:c r="AM56" s="210"/>
      <x:c r="AN56" s="210" t="str">
        <x:v>2026-08-23</x:v>
      </x:c>
      <x:c r="AO56" s="210"/>
      <x:c r="AP56" s="210"/>
      <x:c r="AQ56" s="210"/>
      <x:c r="AR56" s="210"/>
      <x:c r="AS56" s="210" t="str">
        <x:v>採用</x:v>
      </x:c>
      <x:c r="AT56" s="210"/>
      <x:c r="AU56" s="210"/>
      <x:c r="AV56" s="210"/>
      <x:c r="AW56" s="210"/>
      <x:c r="AX56" s="210"/>
      <x:c r="AY56" s="2"/>
      <x:c r="AZ56" s="2"/>
    </x:row>
    <x:row r="57" ht="13.5" customHeight="1">
      <x:c r="A57" s="2"/>
      <x:c r="B57" s="210"/>
      <x:c r="C57" s="210"/>
      <x:c r="D57" s="210"/>
      <x:c r="E57" s="210"/>
      <x:c r="F57" s="210"/>
      <x:c r="G57" s="210"/>
      <x:c r="H57" s="210"/>
      <x:c r="I57" s="210"/>
      <x:c r="J57" s="210"/>
      <x:c r="K57" s="210"/>
      <x:c r="L57" s="210"/>
      <x:c r="M57" s="210"/>
      <x:c r="N57" s="210"/>
      <x:c r="O57" s="210"/>
      <x:c r="P57" s="210"/>
      <x:c r="Q57" s="210"/>
      <x:c r="R57" s="210"/>
      <x:c r="S57" s="210"/>
      <x:c r="T57" s="210"/>
      <x:c r="U57" s="210"/>
      <x:c r="V57" s="210"/>
      <x:c r="W57" s="210"/>
      <x:c r="X57" s="210"/>
      <x:c r="Y57" s="210"/>
      <x:c r="Z57" s="210"/>
      <x:c r="AA57" s="210"/>
      <x:c r="AB57" s="210"/>
      <x:c r="AC57" s="210"/>
      <x:c r="AD57" s="210"/>
      <x:c r="AE57" s="210"/>
      <x:c r="AF57" s="210"/>
      <x:c r="AG57" s="210"/>
      <x:c r="AH57" s="210"/>
      <x:c r="AI57" s="210"/>
      <x:c r="AJ57" s="210"/>
      <x:c r="AK57" s="210"/>
      <x:c r="AL57" s="210"/>
      <x:c r="AM57" s="210"/>
      <x:c r="AN57" s="210"/>
      <x:c r="AO57" s="210"/>
      <x:c r="AP57" s="210"/>
      <x:c r="AQ57" s="210"/>
      <x:c r="AR57" s="210"/>
      <x:c r="AS57" s="210"/>
      <x:c r="AT57" s="210"/>
      <x:c r="AU57" s="210"/>
      <x:c r="AV57" s="210"/>
      <x:c r="AW57" s="210"/>
      <x:c r="AX57" s="210"/>
      <x:c r="AY57" s="2"/>
      <x:c r="AZ57" s="2"/>
    </x:row>
    <x:row r="58" ht="13.5" customHeight="1">
      <x:c r="A58" s="2"/>
      <x:c r="B58" s="210" t="str">
        <x:v>ISSUE-01</x:v>
      </x:c>
      <x:c r="C58" s="210"/>
      <x:c r="D58" s="210"/>
      <x:c r="E58" s="210"/>
      <x:c r="F58" s="210"/>
      <x:c r="G58" s="210"/>
      <x:c r="H58" s="210" t="str">
        <x:v>RPO 15分の費用</x:v>
      </x:c>
      <x:c r="I58" s="210"/>
      <x:c r="J58" s="210"/>
      <x:c r="K58" s="210"/>
      <x:c r="L58" s="210"/>
      <x:c r="M58" s="210"/>
      <x:c r="N58" s="210"/>
      <x:c r="O58" s="210"/>
      <x:c r="P58" s="210"/>
      <x:c r="Q58" s="210"/>
      <x:c r="R58" s="210" t="str">
        <x:v>WAL転送費と業務影響を比較</x:v>
      </x:c>
      <x:c r="S58" s="210"/>
      <x:c r="T58" s="210"/>
      <x:c r="U58" s="210"/>
      <x:c r="V58" s="210"/>
      <x:c r="W58" s="210"/>
      <x:c r="X58" s="210"/>
      <x:c r="Y58" s="210"/>
      <x:c r="Z58" s="210"/>
      <x:c r="AA58" s="210"/>
      <x:c r="AB58" s="210"/>
      <x:c r="AC58" s="210"/>
      <x:c r="AD58" s="210"/>
      <x:c r="AE58" s="210"/>
      <x:c r="AF58" s="210"/>
      <x:c r="AG58" s="210"/>
      <x:c r="AH58" s="210" t="str">
        <x:v>基盤担当</x:v>
      </x:c>
      <x:c r="AI58" s="210"/>
      <x:c r="AJ58" s="210"/>
      <x:c r="AK58" s="210"/>
      <x:c r="AL58" s="210"/>
      <x:c r="AM58" s="210"/>
      <x:c r="AN58" s="210" t="str">
        <x:v>2026-08-28</x:v>
      </x:c>
      <x:c r="AO58" s="210"/>
      <x:c r="AP58" s="210"/>
      <x:c r="AQ58" s="210"/>
      <x:c r="AR58" s="210"/>
      <x:c r="AS58" s="210" t="str">
        <x:v>要確認</x:v>
      </x:c>
      <x:c r="AT58" s="210"/>
      <x:c r="AU58" s="210"/>
      <x:c r="AV58" s="210"/>
      <x:c r="AW58" s="210"/>
      <x:c r="AX58" s="210"/>
      <x:c r="AY58" s="2"/>
      <x:c r="AZ58" s="2"/>
    </x:row>
    <x:row r="59" ht="13.5" customHeight="1">
      <x:c r="A59" s="2"/>
      <x:c r="B59" s="210"/>
      <x:c r="C59" s="210"/>
      <x:c r="D59" s="210"/>
      <x:c r="E59" s="210"/>
      <x:c r="F59" s="210"/>
      <x:c r="G59" s="210"/>
      <x:c r="H59" s="210"/>
      <x:c r="I59" s="210"/>
      <x:c r="J59" s="210"/>
      <x:c r="K59" s="210"/>
      <x:c r="L59" s="210"/>
      <x:c r="M59" s="210"/>
      <x:c r="N59" s="210"/>
      <x:c r="O59" s="210"/>
      <x:c r="P59" s="210"/>
      <x:c r="Q59" s="210"/>
      <x:c r="R59" s="210"/>
      <x:c r="S59" s="210"/>
      <x:c r="T59" s="210"/>
      <x:c r="U59" s="210"/>
      <x:c r="V59" s="210"/>
      <x:c r="W59" s="210"/>
      <x:c r="X59" s="210"/>
      <x:c r="Y59" s="210"/>
      <x:c r="Z59" s="210"/>
      <x:c r="AA59" s="210"/>
      <x:c r="AB59" s="210"/>
      <x:c r="AC59" s="210"/>
      <x:c r="AD59" s="210"/>
      <x:c r="AE59" s="210"/>
      <x:c r="AF59" s="210"/>
      <x:c r="AG59" s="210"/>
      <x:c r="AH59" s="210"/>
      <x:c r="AI59" s="210"/>
      <x:c r="AJ59" s="210"/>
      <x:c r="AK59" s="210"/>
      <x:c r="AL59" s="210"/>
      <x:c r="AM59" s="210"/>
      <x:c r="AN59" s="210"/>
      <x:c r="AO59" s="210"/>
      <x:c r="AP59" s="210"/>
      <x:c r="AQ59" s="210"/>
      <x:c r="AR59" s="210"/>
      <x:c r="AS59" s="210"/>
      <x:c r="AT59" s="210"/>
      <x:c r="AU59" s="210"/>
      <x:c r="AV59" s="210"/>
      <x:c r="AW59" s="210"/>
      <x:c r="AX59" s="210"/>
      <x:c r="AY59" s="2"/>
      <x:c r="AZ59" s="2"/>
    </x:row>
    <x:row r="60" ht="13.5" customHeight="1">
      <x:c r="A60" s="2"/>
      <x:c r="B60" s="210" t="str">
        <x:v>ISSUE-02</x:v>
      </x:c>
      <x:c r="C60" s="210"/>
      <x:c r="D60" s="210"/>
      <x:c r="E60" s="210"/>
      <x:c r="F60" s="210"/>
      <x:c r="G60" s="210"/>
      <x:c r="H60" s="210" t="str">
        <x:v>3年超データ</x:v>
      </x:c>
      <x:c r="I60" s="210"/>
      <x:c r="J60" s="210"/>
      <x:c r="K60" s="210"/>
      <x:c r="L60" s="210"/>
      <x:c r="M60" s="210"/>
      <x:c r="N60" s="210"/>
      <x:c r="O60" s="210"/>
      <x:c r="P60" s="210"/>
      <x:c r="Q60" s="210"/>
      <x:c r="R60" s="210" t="str">
        <x:v>アーカイブ先・検索SLAを業務合意</x:v>
      </x:c>
      <x:c r="S60" s="210"/>
      <x:c r="T60" s="210"/>
      <x:c r="U60" s="210"/>
      <x:c r="V60" s="210"/>
      <x:c r="W60" s="210"/>
      <x:c r="X60" s="210"/>
      <x:c r="Y60" s="210"/>
      <x:c r="Z60" s="210"/>
      <x:c r="AA60" s="210"/>
      <x:c r="AB60" s="210"/>
      <x:c r="AC60" s="210"/>
      <x:c r="AD60" s="210"/>
      <x:c r="AE60" s="210"/>
      <x:c r="AF60" s="210"/>
      <x:c r="AG60" s="210"/>
      <x:c r="AH60" s="210" t="str">
        <x:v>業務担当</x:v>
      </x:c>
      <x:c r="AI60" s="210"/>
      <x:c r="AJ60" s="210"/>
      <x:c r="AK60" s="210"/>
      <x:c r="AL60" s="210"/>
      <x:c r="AM60" s="210"/>
      <x:c r="AN60" s="210" t="str">
        <x:v>2026-08-30</x:v>
      </x:c>
      <x:c r="AO60" s="210"/>
      <x:c r="AP60" s="210"/>
      <x:c r="AQ60" s="210"/>
      <x:c r="AR60" s="210"/>
      <x:c r="AS60" s="210" t="str">
        <x:v>要確認</x:v>
      </x:c>
      <x:c r="AT60" s="210"/>
      <x:c r="AU60" s="210"/>
      <x:c r="AV60" s="210"/>
      <x:c r="AW60" s="210"/>
      <x:c r="AX60" s="210"/>
      <x:c r="AY60" s="2"/>
      <x:c r="AZ60" s="2"/>
    </x:row>
    <x:row r="61" ht="13.5" customHeight="1">
      <x:c r="A61" s="2"/>
      <x:c r="B61" s="210"/>
      <x:c r="C61" s="210"/>
      <x:c r="D61" s="210"/>
      <x:c r="E61" s="210"/>
      <x:c r="F61" s="210"/>
      <x:c r="G61" s="210"/>
      <x:c r="H61" s="210"/>
      <x:c r="I61" s="210"/>
      <x:c r="J61" s="210"/>
      <x:c r="K61" s="210"/>
      <x:c r="L61" s="210"/>
      <x:c r="M61" s="210"/>
      <x:c r="N61" s="210"/>
      <x:c r="O61" s="210"/>
      <x:c r="P61" s="210"/>
      <x:c r="Q61" s="210"/>
      <x:c r="R61" s="210"/>
      <x:c r="S61" s="210"/>
      <x:c r="T61" s="210"/>
      <x:c r="U61" s="210"/>
      <x:c r="V61" s="210"/>
      <x:c r="W61" s="210"/>
      <x:c r="X61" s="210"/>
      <x:c r="Y61" s="210"/>
      <x:c r="Z61" s="210"/>
      <x:c r="AA61" s="210"/>
      <x:c r="AB61" s="210"/>
      <x:c r="AC61" s="210"/>
      <x:c r="AD61" s="210"/>
      <x:c r="AE61" s="210"/>
      <x:c r="AF61" s="210"/>
      <x:c r="AG61" s="210"/>
      <x:c r="AH61" s="210"/>
      <x:c r="AI61" s="210"/>
      <x:c r="AJ61" s="210"/>
      <x:c r="AK61" s="210"/>
      <x:c r="AL61" s="210"/>
      <x:c r="AM61" s="210"/>
      <x:c r="AN61" s="210"/>
      <x:c r="AO61" s="210"/>
      <x:c r="AP61" s="210"/>
      <x:c r="AQ61" s="210"/>
      <x:c r="AR61" s="210"/>
      <x:c r="AS61" s="210"/>
      <x:c r="AT61" s="210"/>
      <x:c r="AU61" s="210"/>
      <x:c r="AV61" s="210"/>
      <x:c r="AW61" s="210"/>
      <x:c r="AX61" s="210"/>
      <x:c r="AY61" s="2"/>
      <x:c r="AZ61" s="2"/>
    </x:row>
    <x:row r="62" ht="13.5" customHeight="1">
      <x:c r="A62" s="2"/>
      <x:c r="B62" s="210" t="str">
        <x:v>ISSUE-03</x:v>
      </x:c>
      <x:c r="C62" s="210"/>
      <x:c r="D62" s="210"/>
      <x:c r="E62" s="210"/>
      <x:c r="F62" s="210"/>
      <x:c r="G62" s="210"/>
      <x:c r="H62" s="210" t="str">
        <x:v>会計停止時間帯</x:v>
      </x:c>
      <x:c r="I62" s="210"/>
      <x:c r="J62" s="210"/>
      <x:c r="K62" s="210"/>
      <x:c r="L62" s="210"/>
      <x:c r="M62" s="210"/>
      <x:c r="N62" s="210"/>
      <x:c r="O62" s="210"/>
      <x:c r="P62" s="210"/>
      <x:c r="Q62" s="210"/>
      <x:c r="R62" s="210" t="str">
        <x:v>IF-06再送窓を会計主管と調整</x:v>
      </x:c>
      <x:c r="S62" s="210"/>
      <x:c r="T62" s="210"/>
      <x:c r="U62" s="210"/>
      <x:c r="V62" s="210"/>
      <x:c r="W62" s="210"/>
      <x:c r="X62" s="210"/>
      <x:c r="Y62" s="210"/>
      <x:c r="Z62" s="210"/>
      <x:c r="AA62" s="210"/>
      <x:c r="AB62" s="210"/>
      <x:c r="AC62" s="210"/>
      <x:c r="AD62" s="210"/>
      <x:c r="AE62" s="210"/>
      <x:c r="AF62" s="210"/>
      <x:c r="AG62" s="210"/>
      <x:c r="AH62" s="210" t="str">
        <x:v>経理担当</x:v>
      </x:c>
      <x:c r="AI62" s="210"/>
      <x:c r="AJ62" s="210"/>
      <x:c r="AK62" s="210"/>
      <x:c r="AL62" s="210"/>
      <x:c r="AM62" s="210"/>
      <x:c r="AN62" s="210" t="str">
        <x:v>2026-08-27</x:v>
      </x:c>
      <x:c r="AO62" s="210"/>
      <x:c r="AP62" s="210"/>
      <x:c r="AQ62" s="210"/>
      <x:c r="AR62" s="210"/>
      <x:c r="AS62" s="210" t="str">
        <x:v>対応中</x:v>
      </x:c>
      <x:c r="AT62" s="210"/>
      <x:c r="AU62" s="210"/>
      <x:c r="AV62" s="210"/>
      <x:c r="AW62" s="210"/>
      <x:c r="AX62" s="210"/>
      <x:c r="AY62" s="2"/>
      <x:c r="AZ62" s="2"/>
    </x:row>
    <x:row r="63" ht="13.5" customHeight="1">
      <x:c r="A63" s="2"/>
      <x:c r="B63" s="210"/>
      <x:c r="C63" s="210"/>
      <x:c r="D63" s="210"/>
      <x:c r="E63" s="210"/>
      <x:c r="F63" s="210"/>
      <x:c r="G63" s="210"/>
      <x:c r="H63" s="210"/>
      <x:c r="I63" s="210"/>
      <x:c r="J63" s="210"/>
      <x:c r="K63" s="210"/>
      <x:c r="L63" s="210"/>
      <x:c r="M63" s="210"/>
      <x:c r="N63" s="210"/>
      <x:c r="O63" s="210"/>
      <x:c r="P63" s="210"/>
      <x:c r="Q63" s="210"/>
      <x:c r="R63" s="210"/>
      <x:c r="S63" s="210"/>
      <x:c r="T63" s="210"/>
      <x:c r="U63" s="210"/>
      <x:c r="V63" s="210"/>
      <x:c r="W63" s="210"/>
      <x:c r="X63" s="210"/>
      <x:c r="Y63" s="210"/>
      <x:c r="Z63" s="210"/>
      <x:c r="AA63" s="210"/>
      <x:c r="AB63" s="210"/>
      <x:c r="AC63" s="210"/>
      <x:c r="AD63" s="210"/>
      <x:c r="AE63" s="210"/>
      <x:c r="AF63" s="210"/>
      <x:c r="AG63" s="210"/>
      <x:c r="AH63" s="210"/>
      <x:c r="AI63" s="210"/>
      <x:c r="AJ63" s="210"/>
      <x:c r="AK63" s="210"/>
      <x:c r="AL63" s="210"/>
      <x:c r="AM63" s="210"/>
      <x:c r="AN63" s="210"/>
      <x:c r="AO63" s="210"/>
      <x:c r="AP63" s="210"/>
      <x:c r="AQ63" s="210"/>
      <x:c r="AR63" s="210"/>
      <x:c r="AS63" s="210"/>
      <x:c r="AT63" s="210"/>
      <x:c r="AU63" s="210"/>
      <x:c r="AV63" s="210"/>
      <x:c r="AW63" s="210"/>
      <x:c r="AX63" s="210"/>
      <x:c r="AY63" s="2"/>
      <x:c r="AZ63" s="2"/>
    </x:row>
    <x:row r="64" ht="13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 ht="13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 ht="13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 ht="13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 ht="13.5" customHeight="1">
      <x:c r="A68" s="2"/>
      <x:c r="B68" s="77" t="str">
        <x:v>8.4 合意状況サマリー（数式）</x:v>
      </x:c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78"/>
      <x:c r="U68" s="78"/>
      <x:c r="V68" s="78"/>
      <x:c r="W68" s="78"/>
      <x:c r="X68" s="78"/>
      <x:c r="Y68" s="78"/>
      <x:c r="Z68" s="78"/>
      <x:c r="AA68" s="78"/>
      <x:c r="AB68" s="78"/>
      <x:c r="AC68" s="78"/>
      <x:c r="AD68" s="78"/>
      <x:c r="AE68" s="78"/>
      <x:c r="AF68" s="78"/>
      <x:c r="AG68" s="78"/>
      <x:c r="AH68" s="78"/>
      <x:c r="AI68" s="78"/>
      <x:c r="AJ68" s="78"/>
      <x:c r="AK68" s="78"/>
      <x:c r="AL68" s="78"/>
      <x:c r="AM68" s="78"/>
      <x:c r="AN68" s="78"/>
      <x:c r="AO68" s="78"/>
      <x:c r="AP68" s="78"/>
      <x:c r="AQ68" s="78"/>
      <x:c r="AR68" s="78"/>
      <x:c r="AS68" s="78"/>
      <x:c r="AT68" s="78"/>
      <x:c r="AU68" s="78"/>
      <x:c r="AV68" s="78"/>
      <x:c r="AW68" s="78"/>
      <x:c r="AX68" s="79"/>
      <x:c r="AY68" s="2"/>
      <x:c r="AZ68" s="2"/>
    </x:row>
    <x:row r="69" ht="13.5" customHeight="1">
      <x:c r="A69" s="2"/>
      <x:c r="B69" s="80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  <x:c r="AA69" s="81"/>
      <x:c r="AB69" s="81"/>
      <x:c r="AC69" s="81"/>
      <x:c r="AD69" s="81"/>
      <x:c r="AE69" s="81"/>
      <x:c r="AF69" s="81"/>
      <x:c r="AG69" s="81"/>
      <x:c r="AH69" s="81"/>
      <x:c r="AI69" s="81"/>
      <x:c r="AJ69" s="81"/>
      <x:c r="AK69" s="81"/>
      <x:c r="AL69" s="81"/>
      <x:c r="AM69" s="81"/>
      <x:c r="AN69" s="81"/>
      <x:c r="AO69" s="81"/>
      <x:c r="AP69" s="81"/>
      <x:c r="AQ69" s="81"/>
      <x:c r="AR69" s="81"/>
      <x:c r="AS69" s="81"/>
      <x:c r="AT69" s="81"/>
      <x:c r="AU69" s="81"/>
      <x:c r="AV69" s="81"/>
      <x:c r="AW69" s="81"/>
      <x:c r="AX69" s="82"/>
      <x:c r="AY69" s="2"/>
      <x:c r="AZ69" s="2"/>
    </x:row>
    <x:row r="70" ht="13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 ht="13.5" customHeight="1">
      <x:c r="A71" s="2"/>
      <x:c r="B71" s="2"/>
      <x:c r="C71" s="1113" t="str">
        <x:v>NFR件数</x:v>
      </x:c>
      <x:c r="D71" s="1114"/>
      <x:c r="E71" s="1114"/>
      <x:c r="F71" s="1114"/>
      <x:c r="G71" s="1114"/>
      <x:c r="H71" s="1114"/>
      <x:c r="I71" s="1114"/>
      <x:c r="J71" s="1114"/>
      <x:c r="K71" s="1114"/>
      <x:c r="L71" s="1115"/>
      <x:c r="M71" s="2"/>
      <x:c r="N71" s="2"/>
      <x:c r="O71" s="1174" t="str">
        <x:v>合意済</x:v>
      </x:c>
      <x:c r="P71" s="1175"/>
      <x:c r="Q71" s="1175"/>
      <x:c r="R71" s="1175"/>
      <x:c r="S71" s="1175"/>
      <x:c r="T71" s="1175"/>
      <x:c r="U71" s="1175"/>
      <x:c r="V71" s="1175"/>
      <x:c r="W71" s="1175"/>
      <x:c r="X71" s="1176"/>
      <x:c r="Y71" s="2"/>
      <x:c r="Z71" s="2"/>
      <x:c r="AA71" s="1222" t="str">
        <x:v>要確認</x:v>
      </x:c>
      <x:c r="AB71" s="1223"/>
      <x:c r="AC71" s="1223"/>
      <x:c r="AD71" s="1223"/>
      <x:c r="AE71" s="1223"/>
      <x:c r="AF71" s="1223"/>
      <x:c r="AG71" s="1223"/>
      <x:c r="AH71" s="1223"/>
      <x:c r="AI71" s="1223"/>
      <x:c r="AJ71" s="1224"/>
      <x:c r="AK71" s="2"/>
      <x:c r="AL71" s="2"/>
      <x:c r="AM71" s="1270" t="str">
        <x:v>未決Issue</x:v>
      </x:c>
      <x:c r="AN71" s="1271"/>
      <x:c r="AO71" s="1271"/>
      <x:c r="AP71" s="1271"/>
      <x:c r="AQ71" s="1271"/>
      <x:c r="AR71" s="1271"/>
      <x:c r="AS71" s="1271"/>
      <x:c r="AT71" s="1271"/>
      <x:c r="AU71" s="1271"/>
      <x:c r="AV71" s="1272"/>
      <x:c r="AW71" s="2"/>
      <x:c r="AX71" s="2"/>
      <x:c r="AY71" s="2"/>
      <x:c r="AZ71" s="2"/>
    </x:row>
    <x:row r="72" ht="13.5" customHeight="1">
      <x:c r="A72" s="2"/>
      <x:c r="B72" s="2"/>
      <x:c r="C72" s="1116"/>
      <x:c r="D72" s="1117"/>
      <x:c r="E72" s="1117"/>
      <x:c r="F72" s="1117"/>
      <x:c r="G72" s="1117"/>
      <x:c r="H72" s="1117"/>
      <x:c r="I72" s="1117"/>
      <x:c r="J72" s="1117"/>
      <x:c r="K72" s="1117"/>
      <x:c r="L72" s="1118"/>
      <x:c r="M72" s="2"/>
      <x:c r="N72" s="2"/>
      <x:c r="O72" s="1177"/>
      <x:c r="P72" s="1178"/>
      <x:c r="Q72" s="1178"/>
      <x:c r="R72" s="1178"/>
      <x:c r="S72" s="1178"/>
      <x:c r="T72" s="1178"/>
      <x:c r="U72" s="1178"/>
      <x:c r="V72" s="1178"/>
      <x:c r="W72" s="1178"/>
      <x:c r="X72" s="1179"/>
      <x:c r="Y72" s="2"/>
      <x:c r="Z72" s="2"/>
      <x:c r="AA72" s="1225"/>
      <x:c r="AB72" s="1226"/>
      <x:c r="AC72" s="1226"/>
      <x:c r="AD72" s="1226"/>
      <x:c r="AE72" s="1226"/>
      <x:c r="AF72" s="1226"/>
      <x:c r="AG72" s="1226"/>
      <x:c r="AH72" s="1226"/>
      <x:c r="AI72" s="1226"/>
      <x:c r="AJ72" s="1227"/>
      <x:c r="AK72" s="2"/>
      <x:c r="AL72" s="2"/>
      <x:c r="AM72" s="1273"/>
      <x:c r="AN72" s="1274"/>
      <x:c r="AO72" s="1274"/>
      <x:c r="AP72" s="1274"/>
      <x:c r="AQ72" s="1274"/>
      <x:c r="AR72" s="1274"/>
      <x:c r="AS72" s="1274"/>
      <x:c r="AT72" s="1274"/>
      <x:c r="AU72" s="1274"/>
      <x:c r="AV72" s="1275"/>
      <x:c r="AW72" s="2"/>
      <x:c r="AX72" s="2"/>
      <x:c r="AY72" s="2"/>
      <x:c r="AZ72" s="2"/>
    </x:row>
    <x:row r="73" ht="13.5" customHeight="1">
      <x:c r="A73" s="2"/>
      <x:c r="B73" s="2"/>
      <x:c r="C73" s="1146" t="n">
        <x:f>COUNTA(B9:B29)</x:f>
        <x:v>10</x:v>
      </x:c>
      <x:c r="D73" s="1147"/>
      <x:c r="E73" s="1147"/>
      <x:c r="F73" s="1147"/>
      <x:c r="G73" s="1147"/>
      <x:c r="H73" s="1147"/>
      <x:c r="I73" s="1147"/>
      <x:c r="J73" s="1147"/>
      <x:c r="K73" s="1147"/>
      <x:c r="L73" s="1148"/>
      <x:c r="M73" s="2"/>
      <x:c r="N73" s="2"/>
      <x:c r="O73" s="1207" t="n">
        <x:f>COUNTIF(AS9:AS29,"合意済")</x:f>
        <x:v>5</x:v>
      </x:c>
      <x:c r="P73" s="1208"/>
      <x:c r="Q73" s="1208"/>
      <x:c r="R73" s="1208"/>
      <x:c r="S73" s="1208"/>
      <x:c r="T73" s="1208"/>
      <x:c r="U73" s="1208"/>
      <x:c r="V73" s="1208"/>
      <x:c r="W73" s="1208"/>
      <x:c r="X73" s="1209"/>
      <x:c r="Y73" s="2"/>
      <x:c r="Z73" s="2"/>
      <x:c r="AA73" s="1255" t="n">
        <x:f>COUNTIF(AS9:AS29,"要確認")</x:f>
        <x:v>3</x:v>
      </x:c>
      <x:c r="AB73" s="1256"/>
      <x:c r="AC73" s="1256"/>
      <x:c r="AD73" s="1256"/>
      <x:c r="AE73" s="1256"/>
      <x:c r="AF73" s="1256"/>
      <x:c r="AG73" s="1256"/>
      <x:c r="AH73" s="1256"/>
      <x:c r="AI73" s="1256"/>
      <x:c r="AJ73" s="1257"/>
      <x:c r="AK73" s="2"/>
      <x:c r="AL73" s="2"/>
      <x:c r="AM73" s="1303" t="n">
        <x:f>COUNTA(B58:B62)</x:f>
        <x:v>3</x:v>
      </x:c>
      <x:c r="AN73" s="1304"/>
      <x:c r="AO73" s="1304"/>
      <x:c r="AP73" s="1304"/>
      <x:c r="AQ73" s="1304"/>
      <x:c r="AR73" s="1304"/>
      <x:c r="AS73" s="1304"/>
      <x:c r="AT73" s="1304"/>
      <x:c r="AU73" s="1304"/>
      <x:c r="AV73" s="1305"/>
      <x:c r="AW73" s="2"/>
      <x:c r="AX73" s="2"/>
      <x:c r="AY73" s="2"/>
      <x:c r="AZ73" s="2"/>
    </x:row>
    <x:row r="74" ht="13.5" customHeight="1">
      <x:c r="A74" s="2"/>
      <x:c r="B74" s="2"/>
      <x:c r="C74" s="1149"/>
      <x:c r="D74" s="1150"/>
      <x:c r="E74" s="1150"/>
      <x:c r="F74" s="1150"/>
      <x:c r="G74" s="1150"/>
      <x:c r="H74" s="1150"/>
      <x:c r="I74" s="1150"/>
      <x:c r="J74" s="1150"/>
      <x:c r="K74" s="1150"/>
      <x:c r="L74" s="1151"/>
      <x:c r="M74" s="2"/>
      <x:c r="N74" s="2"/>
      <x:c r="O74" s="1210"/>
      <x:c r="P74" s="1211"/>
      <x:c r="Q74" s="1211"/>
      <x:c r="R74" s="1211"/>
      <x:c r="S74" s="1211"/>
      <x:c r="T74" s="1211"/>
      <x:c r="U74" s="1211"/>
      <x:c r="V74" s="1211"/>
      <x:c r="W74" s="1211"/>
      <x:c r="X74" s="1212"/>
      <x:c r="Y74" s="2"/>
      <x:c r="Z74" s="2"/>
      <x:c r="AA74" s="1258"/>
      <x:c r="AB74" s="1259"/>
      <x:c r="AC74" s="1259"/>
      <x:c r="AD74" s="1259"/>
      <x:c r="AE74" s="1259"/>
      <x:c r="AF74" s="1259"/>
      <x:c r="AG74" s="1259"/>
      <x:c r="AH74" s="1259"/>
      <x:c r="AI74" s="1259"/>
      <x:c r="AJ74" s="1260"/>
      <x:c r="AK74" s="2"/>
      <x:c r="AL74" s="2"/>
      <x:c r="AM74" s="1306"/>
      <x:c r="AN74" s="1307"/>
      <x:c r="AO74" s="1307"/>
      <x:c r="AP74" s="1307"/>
      <x:c r="AQ74" s="1307"/>
      <x:c r="AR74" s="1307"/>
      <x:c r="AS74" s="1307"/>
      <x:c r="AT74" s="1307"/>
      <x:c r="AU74" s="1307"/>
      <x:c r="AV74" s="1308"/>
      <x:c r="AW74" s="2"/>
      <x:c r="AX74" s="2"/>
      <x:c r="AY74" s="2"/>
      <x:c r="AZ74" s="2"/>
    </x:row>
    <x:row r="75" ht="13.5" customHeight="1">
      <x:c r="A75" s="2"/>
      <x:c r="B75" s="2"/>
      <x:c r="C75" s="1152"/>
      <x:c r="D75" s="1153"/>
      <x:c r="E75" s="1153"/>
      <x:c r="F75" s="1153"/>
      <x:c r="G75" s="1153"/>
      <x:c r="H75" s="1153"/>
      <x:c r="I75" s="1153"/>
      <x:c r="J75" s="1153"/>
      <x:c r="K75" s="1153"/>
      <x:c r="L75" s="1154"/>
      <x:c r="M75" s="2"/>
      <x:c r="N75" s="2"/>
      <x:c r="O75" s="1213"/>
      <x:c r="P75" s="1214"/>
      <x:c r="Q75" s="1214"/>
      <x:c r="R75" s="1214"/>
      <x:c r="S75" s="1214"/>
      <x:c r="T75" s="1214"/>
      <x:c r="U75" s="1214"/>
      <x:c r="V75" s="1214"/>
      <x:c r="W75" s="1214"/>
      <x:c r="X75" s="1215"/>
      <x:c r="Y75" s="2"/>
      <x:c r="Z75" s="2"/>
      <x:c r="AA75" s="1261"/>
      <x:c r="AB75" s="1262"/>
      <x:c r="AC75" s="1262"/>
      <x:c r="AD75" s="1262"/>
      <x:c r="AE75" s="1262"/>
      <x:c r="AF75" s="1262"/>
      <x:c r="AG75" s="1262"/>
      <x:c r="AH75" s="1262"/>
      <x:c r="AI75" s="1262"/>
      <x:c r="AJ75" s="1263"/>
      <x:c r="AK75" s="2"/>
      <x:c r="AL75" s="2"/>
      <x:c r="AM75" s="1309"/>
      <x:c r="AN75" s="1310"/>
      <x:c r="AO75" s="1310"/>
      <x:c r="AP75" s="1310"/>
      <x:c r="AQ75" s="1310"/>
      <x:c r="AR75" s="1310"/>
      <x:c r="AS75" s="1310"/>
      <x:c r="AT75" s="1310"/>
      <x:c r="AU75" s="1310"/>
      <x:c r="AV75" s="1311"/>
      <x:c r="AW75" s="2"/>
      <x:c r="AX75" s="2"/>
      <x:c r="AY75" s="2"/>
      <x:c r="AZ75" s="2"/>
    </x:row>
    <x:row r="76" ht="13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 ht="13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 ht="13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 ht="13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 ht="13.5" customHeight="1">
      <x:c r="A80" s="2"/>
      <x:c r="B80" s="197" t="str">
        <x:v>運用引継ぎ条件：Runbook、監視ダッシュボード、連絡網、復旧訓練結果、既知障害一覧をリリース判定会までに提出する。未決ISSUEはOwnerと期限を持ち、合意なしに本番移行しない。</x:v>
      </x:c>
      <x:c r="C80" s="198"/>
      <x:c r="D80" s="198"/>
      <x:c r="E80" s="198"/>
      <x:c r="F80" s="198"/>
      <x:c r="G80" s="198"/>
      <x:c r="H80" s="198"/>
      <x:c r="I80" s="198"/>
      <x:c r="J80" s="198"/>
      <x:c r="K80" s="198"/>
      <x:c r="L80" s="198"/>
      <x:c r="M80" s="198"/>
      <x:c r="N80" s="198"/>
      <x:c r="O80" s="198"/>
      <x:c r="P80" s="198"/>
      <x:c r="Q80" s="198"/>
      <x:c r="R80" s="198"/>
      <x:c r="S80" s="198"/>
      <x:c r="T80" s="198"/>
      <x:c r="U80" s="198"/>
      <x:c r="V80" s="198"/>
      <x:c r="W80" s="198"/>
      <x:c r="X80" s="198"/>
      <x:c r="Y80" s="198"/>
      <x:c r="Z80" s="198"/>
      <x:c r="AA80" s="198"/>
      <x:c r="AB80" s="198"/>
      <x:c r="AC80" s="198"/>
      <x:c r="AD80" s="198"/>
      <x:c r="AE80" s="198"/>
      <x:c r="AF80" s="198"/>
      <x:c r="AG80" s="198"/>
      <x:c r="AH80" s="198"/>
      <x:c r="AI80" s="198"/>
      <x:c r="AJ80" s="198"/>
      <x:c r="AK80" s="198"/>
      <x:c r="AL80" s="198"/>
      <x:c r="AM80" s="198"/>
      <x:c r="AN80" s="198"/>
      <x:c r="AO80" s="198"/>
      <x:c r="AP80" s="198"/>
      <x:c r="AQ80" s="198"/>
      <x:c r="AR80" s="198"/>
      <x:c r="AS80" s="198"/>
      <x:c r="AT80" s="198"/>
      <x:c r="AU80" s="198"/>
      <x:c r="AV80" s="198"/>
      <x:c r="AW80" s="198"/>
      <x:c r="AX80" s="199"/>
      <x:c r="AY80" s="2"/>
      <x:c r="AZ80" s="2"/>
    </x:row>
    <x:row r="81" ht="13.5" customHeight="1">
      <x:c r="A81" s="2"/>
      <x:c r="B81" s="200"/>
      <x:c r="C81" s="201"/>
      <x:c r="D81" s="201"/>
      <x:c r="E81" s="201"/>
      <x:c r="F81" s="201"/>
      <x:c r="G81" s="201"/>
      <x:c r="H81" s="201"/>
      <x:c r="I81" s="201"/>
      <x:c r="J81" s="201"/>
      <x:c r="K81" s="201"/>
      <x:c r="L81" s="201"/>
      <x:c r="M81" s="201"/>
      <x:c r="N81" s="201"/>
      <x:c r="O81" s="201"/>
      <x:c r="P81" s="201"/>
      <x:c r="Q81" s="201"/>
      <x:c r="R81" s="201"/>
      <x:c r="S81" s="201"/>
      <x:c r="T81" s="201"/>
      <x:c r="U81" s="201"/>
      <x:c r="V81" s="201"/>
      <x:c r="W81" s="201"/>
      <x:c r="X81" s="201"/>
      <x:c r="Y81" s="201"/>
      <x:c r="Z81" s="201"/>
      <x:c r="AA81" s="201"/>
      <x:c r="AB81" s="201"/>
      <x:c r="AC81" s="201"/>
      <x:c r="AD81" s="201"/>
      <x:c r="AE81" s="201"/>
      <x:c r="AF81" s="201"/>
      <x:c r="AG81" s="201"/>
      <x:c r="AH81" s="201"/>
      <x:c r="AI81" s="201"/>
      <x:c r="AJ81" s="201"/>
      <x:c r="AK81" s="201"/>
      <x:c r="AL81" s="201"/>
      <x:c r="AM81" s="201"/>
      <x:c r="AN81" s="201"/>
      <x:c r="AO81" s="201"/>
      <x:c r="AP81" s="201"/>
      <x:c r="AQ81" s="201"/>
      <x:c r="AR81" s="201"/>
      <x:c r="AS81" s="201"/>
      <x:c r="AT81" s="201"/>
      <x:c r="AU81" s="201"/>
      <x:c r="AV81" s="201"/>
      <x:c r="AW81" s="201"/>
      <x:c r="AX81" s="202"/>
      <x:c r="AY81" s="2"/>
      <x:c r="AZ81" s="2"/>
    </x:row>
    <x:row r="82" ht="13.5" customHeight="1">
      <x:c r="A82" s="2"/>
      <x:c r="B82" s="200"/>
      <x:c r="C82" s="201"/>
      <x:c r="D82" s="201"/>
      <x:c r="E82" s="201"/>
      <x:c r="F82" s="201"/>
      <x:c r="G82" s="201"/>
      <x:c r="H82" s="201"/>
      <x:c r="I82" s="201"/>
      <x:c r="J82" s="201"/>
      <x:c r="K82" s="201"/>
      <x:c r="L82" s="201"/>
      <x:c r="M82" s="201"/>
      <x:c r="N82" s="201"/>
      <x:c r="O82" s="201"/>
      <x:c r="P82" s="201"/>
      <x:c r="Q82" s="201"/>
      <x:c r="R82" s="201"/>
      <x:c r="S82" s="201"/>
      <x:c r="T82" s="201"/>
      <x:c r="U82" s="201"/>
      <x:c r="V82" s="201"/>
      <x:c r="W82" s="201"/>
      <x:c r="X82" s="201"/>
      <x:c r="Y82" s="201"/>
      <x:c r="Z82" s="201"/>
      <x:c r="AA82" s="201"/>
      <x:c r="AB82" s="201"/>
      <x:c r="AC82" s="201"/>
      <x:c r="AD82" s="201"/>
      <x:c r="AE82" s="201"/>
      <x:c r="AF82" s="201"/>
      <x:c r="AG82" s="201"/>
      <x:c r="AH82" s="201"/>
      <x:c r="AI82" s="201"/>
      <x:c r="AJ82" s="201"/>
      <x:c r="AK82" s="201"/>
      <x:c r="AL82" s="201"/>
      <x:c r="AM82" s="201"/>
      <x:c r="AN82" s="201"/>
      <x:c r="AO82" s="201"/>
      <x:c r="AP82" s="201"/>
      <x:c r="AQ82" s="201"/>
      <x:c r="AR82" s="201"/>
      <x:c r="AS82" s="201"/>
      <x:c r="AT82" s="201"/>
      <x:c r="AU82" s="201"/>
      <x:c r="AV82" s="201"/>
      <x:c r="AW82" s="201"/>
      <x:c r="AX82" s="202"/>
      <x:c r="AY82" s="2"/>
      <x:c r="AZ82" s="2"/>
    </x:row>
    <x:row r="83" ht="13.5" customHeight="1">
      <x:c r="A83" s="2"/>
      <x:c r="B83" s="200"/>
      <x:c r="C83" s="201"/>
      <x:c r="D83" s="201"/>
      <x:c r="E83" s="201"/>
      <x:c r="F83" s="201"/>
      <x:c r="G83" s="201"/>
      <x:c r="H83" s="201"/>
      <x:c r="I83" s="201"/>
      <x:c r="J83" s="201"/>
      <x:c r="K83" s="201"/>
      <x:c r="L83" s="201"/>
      <x:c r="M83" s="201"/>
      <x:c r="N83" s="201"/>
      <x:c r="O83" s="201"/>
      <x:c r="P83" s="201"/>
      <x:c r="Q83" s="201"/>
      <x:c r="R83" s="201"/>
      <x:c r="S83" s="201"/>
      <x:c r="T83" s="201"/>
      <x:c r="U83" s="201"/>
      <x:c r="V83" s="201"/>
      <x:c r="W83" s="201"/>
      <x:c r="X83" s="201"/>
      <x:c r="Y83" s="201"/>
      <x:c r="Z83" s="201"/>
      <x:c r="AA83" s="201"/>
      <x:c r="AB83" s="201"/>
      <x:c r="AC83" s="201"/>
      <x:c r="AD83" s="201"/>
      <x:c r="AE83" s="201"/>
      <x:c r="AF83" s="201"/>
      <x:c r="AG83" s="201"/>
      <x:c r="AH83" s="201"/>
      <x:c r="AI83" s="201"/>
      <x:c r="AJ83" s="201"/>
      <x:c r="AK83" s="201"/>
      <x:c r="AL83" s="201"/>
      <x:c r="AM83" s="201"/>
      <x:c r="AN83" s="201"/>
      <x:c r="AO83" s="201"/>
      <x:c r="AP83" s="201"/>
      <x:c r="AQ83" s="201"/>
      <x:c r="AR83" s="201"/>
      <x:c r="AS83" s="201"/>
      <x:c r="AT83" s="201"/>
      <x:c r="AU83" s="201"/>
      <x:c r="AV83" s="201"/>
      <x:c r="AW83" s="201"/>
      <x:c r="AX83" s="202"/>
      <x:c r="AY83" s="2"/>
      <x:c r="AZ83" s="2"/>
    </x:row>
    <x:row r="84" ht="13.5" customHeight="1">
      <x:c r="A84" s="2"/>
      <x:c r="B84" s="203"/>
      <x:c r="C84" s="204"/>
      <x:c r="D84" s="204"/>
      <x:c r="E84" s="204"/>
      <x:c r="F84" s="204"/>
      <x:c r="G84" s="204"/>
      <x:c r="H84" s="204"/>
      <x:c r="I84" s="204"/>
      <x:c r="J84" s="204"/>
      <x:c r="K84" s="204"/>
      <x:c r="L84" s="204"/>
      <x:c r="M84" s="204"/>
      <x:c r="N84" s="204"/>
      <x:c r="O84" s="204"/>
      <x:c r="P84" s="204"/>
      <x:c r="Q84" s="204"/>
      <x:c r="R84" s="204"/>
      <x:c r="S84" s="204"/>
      <x:c r="T84" s="204"/>
      <x:c r="U84" s="204"/>
      <x:c r="V84" s="204"/>
      <x:c r="W84" s="204"/>
      <x:c r="X84" s="204"/>
      <x:c r="Y84" s="204"/>
      <x:c r="Z84" s="204"/>
      <x:c r="AA84" s="204"/>
      <x:c r="AB84" s="204"/>
      <x:c r="AC84" s="204"/>
      <x:c r="AD84" s="204"/>
      <x:c r="AE84" s="204"/>
      <x:c r="AF84" s="204"/>
      <x:c r="AG84" s="204"/>
      <x:c r="AH84" s="204"/>
      <x:c r="AI84" s="204"/>
      <x:c r="AJ84" s="204"/>
      <x:c r="AK84" s="204"/>
      <x:c r="AL84" s="204"/>
      <x:c r="AM84" s="204"/>
      <x:c r="AN84" s="204"/>
      <x:c r="AO84" s="204"/>
      <x:c r="AP84" s="204"/>
      <x:c r="AQ84" s="204"/>
      <x:c r="AR84" s="204"/>
      <x:c r="AS84" s="204"/>
      <x:c r="AT84" s="204"/>
      <x:c r="AU84" s="204"/>
      <x:c r="AV84" s="204"/>
      <x:c r="AW84" s="204"/>
      <x:c r="AX84" s="205"/>
      <x:c r="AY84" s="2"/>
      <x:c r="AZ84" s="2"/>
    </x:row>
    <x:row r="85" ht="13.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 ht="13.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 ht="13.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 ht="13.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 ht="13.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 ht="13.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 ht="13.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 ht="13.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 ht="13.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 ht="13.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 ht="13.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 ht="13.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</x:sheetData>
  <x:mergeCells>
    <x:mergeCell ref="A1:AZ2"/>
    <x:mergeCell ref="A3:AZ3"/>
    <x:mergeCell ref="A4:L4"/>
    <x:mergeCell ref="M4:R4"/>
    <x:mergeCell ref="S4:AE4"/>
    <x:mergeCell ref="AF4:AQ4"/>
    <x:mergeCell ref="AR4:AZ4"/>
    <x:mergeCell ref="B5:AX6"/>
    <x:mergeCell ref="B8:G8"/>
    <x:mergeCell ref="H8:M8"/>
    <x:mergeCell ref="N8:Y8"/>
    <x:mergeCell ref="Z8:AH8"/>
    <x:mergeCell ref="AI8:AR8"/>
    <x:mergeCell ref="AS8:AX8"/>
    <x:mergeCell ref="B9:G10"/>
    <x:mergeCell ref="H9:M10"/>
    <x:mergeCell ref="N9:Y10"/>
    <x:mergeCell ref="Z9:AH10"/>
    <x:mergeCell ref="AI9:AR10"/>
    <x:mergeCell ref="AS9:AX10"/>
    <x:mergeCell ref="B11:G12"/>
    <x:mergeCell ref="H11:M12"/>
    <x:mergeCell ref="N11:Y12"/>
    <x:mergeCell ref="Z11:AH12"/>
    <x:mergeCell ref="AI11:AR12"/>
    <x:mergeCell ref="AS11:AX12"/>
    <x:mergeCell ref="B13:G14"/>
    <x:mergeCell ref="H13:M14"/>
    <x:mergeCell ref="N13:Y14"/>
    <x:mergeCell ref="Z13:AH14"/>
    <x:mergeCell ref="AI13:AR14"/>
    <x:mergeCell ref="AS13:AX14"/>
    <x:mergeCell ref="B15:G16"/>
    <x:mergeCell ref="H15:M16"/>
    <x:mergeCell ref="N15:Y16"/>
    <x:mergeCell ref="Z15:AH16"/>
    <x:mergeCell ref="AI15:AR16"/>
    <x:mergeCell ref="AS15:AX16"/>
    <x:mergeCell ref="B17:G18"/>
    <x:mergeCell ref="H17:M18"/>
    <x:mergeCell ref="N17:Y18"/>
    <x:mergeCell ref="Z17:AH18"/>
    <x:mergeCell ref="AI17:AR18"/>
    <x:mergeCell ref="AS17:AX18"/>
    <x:mergeCell ref="B19:G20"/>
    <x:mergeCell ref="H19:M20"/>
    <x:mergeCell ref="N19:Y20"/>
    <x:mergeCell ref="Z19:AH20"/>
    <x:mergeCell ref="AI19:AR20"/>
    <x:mergeCell ref="AS19:AX20"/>
    <x:mergeCell ref="B21:G22"/>
    <x:mergeCell ref="H21:M22"/>
    <x:mergeCell ref="N21:Y22"/>
    <x:mergeCell ref="Z21:AH22"/>
    <x:mergeCell ref="AI21:AR22"/>
    <x:mergeCell ref="AS21:AX22"/>
    <x:mergeCell ref="B23:G24"/>
    <x:mergeCell ref="H23:M24"/>
    <x:mergeCell ref="N23:Y24"/>
    <x:mergeCell ref="Z23:AH24"/>
    <x:mergeCell ref="AI23:AR24"/>
    <x:mergeCell ref="AS23:AX24"/>
    <x:mergeCell ref="B25:G26"/>
    <x:mergeCell ref="H25:M26"/>
    <x:mergeCell ref="N25:Y26"/>
    <x:mergeCell ref="Z25:AH26"/>
    <x:mergeCell ref="AI25:AR26"/>
    <x:mergeCell ref="AS25:AX26"/>
    <x:mergeCell ref="B27:G28"/>
    <x:mergeCell ref="H27:M28"/>
    <x:mergeCell ref="N27:Y28"/>
    <x:mergeCell ref="Z27:AH28"/>
    <x:mergeCell ref="AI27:AR28"/>
    <x:mergeCell ref="AS27:AX28"/>
    <x:mergeCell ref="B33:AX34"/>
    <x:mergeCell ref="B36:G36"/>
    <x:mergeCell ref="H36:O36"/>
    <x:mergeCell ref="P36:W36"/>
    <x:mergeCell ref="X36:AF36"/>
    <x:mergeCell ref="AG36:AO36"/>
    <x:mergeCell ref="AP36:AT36"/>
    <x:mergeCell ref="AU36:AX36"/>
    <x:mergeCell ref="B37:G38"/>
    <x:mergeCell ref="H37:O38"/>
    <x:mergeCell ref="P37:W38"/>
    <x:mergeCell ref="X37:AF38"/>
    <x:mergeCell ref="AG37:AO38"/>
    <x:mergeCell ref="AP37:AT38"/>
    <x:mergeCell ref="AU37:AX38"/>
    <x:mergeCell ref="B39:G40"/>
    <x:mergeCell ref="H39:O40"/>
    <x:mergeCell ref="P39:W40"/>
    <x:mergeCell ref="X39:AF40"/>
    <x:mergeCell ref="AG39:AO40"/>
    <x:mergeCell ref="AP39:AT40"/>
    <x:mergeCell ref="AU39:AX40"/>
    <x:mergeCell ref="B41:G42"/>
    <x:mergeCell ref="H41:O42"/>
    <x:mergeCell ref="P41:W42"/>
    <x:mergeCell ref="X41:AF42"/>
    <x:mergeCell ref="AG41:AO42"/>
    <x:mergeCell ref="AP41:AT42"/>
    <x:mergeCell ref="AU41:AX42"/>
    <x:mergeCell ref="B43:G44"/>
    <x:mergeCell ref="H43:O44"/>
    <x:mergeCell ref="P43:W44"/>
    <x:mergeCell ref="X43:AF44"/>
    <x:mergeCell ref="AG43:AO44"/>
    <x:mergeCell ref="AP43:AT44"/>
    <x:mergeCell ref="AU43:AX44"/>
    <x:mergeCell ref="B45:G46"/>
    <x:mergeCell ref="H45:O46"/>
    <x:mergeCell ref="P45:W46"/>
    <x:mergeCell ref="X45:AF46"/>
    <x:mergeCell ref="AG45:AO46"/>
    <x:mergeCell ref="AP45:AT46"/>
    <x:mergeCell ref="AU45:AX46"/>
    <x:mergeCell ref="B50:AX51"/>
    <x:mergeCell ref="B53:G53"/>
    <x:mergeCell ref="H53:Q53"/>
    <x:mergeCell ref="R53:AG53"/>
    <x:mergeCell ref="AH53:AM53"/>
    <x:mergeCell ref="AN53:AR53"/>
    <x:mergeCell ref="AS53:AX53"/>
    <x:mergeCell ref="B54:G55"/>
    <x:mergeCell ref="H54:Q55"/>
    <x:mergeCell ref="R54:AG55"/>
    <x:mergeCell ref="AH54:AM55"/>
    <x:mergeCell ref="AN54:AR55"/>
    <x:mergeCell ref="AS54:AX55"/>
    <x:mergeCell ref="B56:G57"/>
    <x:mergeCell ref="H56:Q57"/>
    <x:mergeCell ref="R56:AG57"/>
    <x:mergeCell ref="AH56:AM57"/>
    <x:mergeCell ref="AN56:AR57"/>
    <x:mergeCell ref="AS56:AX57"/>
    <x:mergeCell ref="B58:G59"/>
    <x:mergeCell ref="H58:Q59"/>
    <x:mergeCell ref="R58:AG59"/>
    <x:mergeCell ref="AH58:AM59"/>
    <x:mergeCell ref="AN58:AR59"/>
    <x:mergeCell ref="AS58:AX59"/>
    <x:mergeCell ref="B60:G61"/>
    <x:mergeCell ref="H60:Q61"/>
    <x:mergeCell ref="R60:AG61"/>
    <x:mergeCell ref="AH60:AM61"/>
    <x:mergeCell ref="AN60:AR61"/>
    <x:mergeCell ref="AS60:AX61"/>
    <x:mergeCell ref="B62:G63"/>
    <x:mergeCell ref="H62:Q63"/>
    <x:mergeCell ref="R62:AG63"/>
    <x:mergeCell ref="AH62:AM63"/>
    <x:mergeCell ref="AN62:AR63"/>
    <x:mergeCell ref="AS62:AX63"/>
    <x:mergeCell ref="B68:AX69"/>
    <x:mergeCell ref="C71:L72"/>
    <x:mergeCell ref="C73:L75"/>
    <x:mergeCell ref="O71:X72"/>
    <x:mergeCell ref="O73:X75"/>
    <x:mergeCell ref="AA71:AJ72"/>
    <x:mergeCell ref="AA73:AJ75"/>
    <x:mergeCell ref="AM71:AV72"/>
    <x:mergeCell ref="AM73:AV75"/>
    <x:mergeCell ref="B80:AX84"/>
  </x:mergeCells>
  <x:conditionalFormatting sqref="AS9:AX29">
    <x:cfRule type="containsText" dxfId="4" priority="1" operator="containsText" text="合意済"/>
    <x:cfRule type="containsText" dxfId="5" priority="2" operator="containsText" text="要確認"/>
    <x:cfRule type="containsText" dxfId="6" priority="3" operator="containsText" text="条件付"/>
  </x:conditionalFormatting>
  <x:conditionalFormatting sqref="AS54:AX64">
    <x:cfRule type="containsText" dxfId="7" priority="4" operator="containsText" text="要確認"/>
    <x:cfRule type="containsText" dxfId="8" priority="5" operator="containsText" text="対応中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</x:cols>
  <x:sheetData>
    <x:row r="1" ht="13.5" customHeight="1">
      <x:c r="A1" s="131" t="str">
        <x:v>99 凡例・参考資料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  <x:c r="N1" s="131"/>
      <x:c r="O1" s="131"/>
      <x:c r="P1" s="131"/>
      <x:c r="Q1" s="131"/>
      <x:c r="R1" s="131"/>
      <x:c r="S1" s="131"/>
      <x:c r="T1" s="131"/>
      <x:c r="U1" s="131"/>
      <x:c r="V1" s="131"/>
      <x:c r="W1" s="131"/>
      <x:c r="X1" s="131"/>
      <x:c r="Y1" s="131"/>
      <x:c r="Z1" s="131"/>
      <x:c r="AA1" s="131"/>
      <x:c r="AB1" s="131"/>
      <x:c r="AC1" s="131"/>
      <x:c r="AD1" s="131"/>
      <x:c r="AE1" s="131"/>
      <x:c r="AF1" s="131"/>
      <x:c r="AG1" s="131"/>
      <x:c r="AH1" s="131"/>
      <x:c r="AI1" s="131"/>
      <x:c r="AJ1" s="131"/>
      <x:c r="AK1" s="131"/>
      <x:c r="AL1" s="131"/>
      <x:c r="AM1" s="131"/>
      <x:c r="AN1" s="131"/>
      <x:c r="AO1" s="131"/>
      <x:c r="AP1" s="131"/>
      <x:c r="AQ1" s="131"/>
      <x:c r="AR1" s="131"/>
      <x:c r="AS1" s="131"/>
      <x:c r="AT1" s="131"/>
      <x:c r="AU1" s="131"/>
      <x:c r="AV1" s="131"/>
      <x:c r="AW1" s="131"/>
      <x:c r="AX1" s="131"/>
      <x:c r="AY1" s="131"/>
      <x:c r="AZ1" s="131"/>
    </x:row>
    <x:row r="2" ht="13.5" customHeight="1">
      <x:c r="A2" s="131"/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  <x:c r="Q2" s="131"/>
      <x:c r="R2" s="131"/>
      <x:c r="S2" s="131"/>
      <x:c r="T2" s="131"/>
      <x:c r="U2" s="131"/>
      <x:c r="V2" s="131"/>
      <x:c r="W2" s="131"/>
      <x:c r="X2" s="131"/>
      <x:c r="Y2" s="131"/>
      <x:c r="Z2" s="131"/>
      <x:c r="AA2" s="131"/>
      <x:c r="AB2" s="131"/>
      <x:c r="AC2" s="131"/>
      <x:c r="AD2" s="131"/>
      <x:c r="AE2" s="131"/>
      <x:c r="AF2" s="131"/>
      <x:c r="AG2" s="131"/>
      <x:c r="AH2" s="131"/>
      <x:c r="AI2" s="131"/>
      <x:c r="AJ2" s="131"/>
      <x:c r="AK2" s="131"/>
      <x:c r="AL2" s="131"/>
      <x:c r="AM2" s="131"/>
      <x:c r="AN2" s="131"/>
      <x:c r="AO2" s="131"/>
      <x:c r="AP2" s="131"/>
      <x:c r="AQ2" s="131"/>
      <x:c r="AR2" s="131"/>
      <x:c r="AS2" s="131"/>
      <x:c r="AT2" s="131"/>
      <x:c r="AU2" s="131"/>
      <x:c r="AV2" s="131"/>
      <x:c r="AW2" s="131"/>
      <x:c r="AX2" s="131"/>
      <x:c r="AY2" s="131"/>
      <x:c r="AZ2" s="131"/>
    </x:row>
    <x:row r="3" ht="13.5" customHeight="1">
      <x:c r="A3" s="135" t="str">
        <x:v>図形の意味を先に定義し、読み手による解釈差を抑える。URLは調査時点の参照先。</x:v>
      </x:c>
      <x:c r="B3" s="135"/>
      <x:c r="C3" s="135"/>
      <x:c r="D3" s="135"/>
      <x:c r="E3" s="135"/>
      <x:c r="F3" s="135"/>
      <x:c r="G3" s="135"/>
      <x:c r="H3" s="135"/>
      <x:c r="I3" s="135"/>
      <x:c r="J3" s="135"/>
      <x:c r="K3" s="135"/>
      <x:c r="L3" s="135"/>
      <x:c r="M3" s="135"/>
      <x:c r="N3" s="135"/>
      <x:c r="O3" s="135"/>
      <x:c r="P3" s="135"/>
      <x:c r="Q3" s="135"/>
      <x:c r="R3" s="135"/>
      <x:c r="S3" s="135"/>
      <x:c r="T3" s="135"/>
      <x:c r="U3" s="135"/>
      <x:c r="V3" s="135"/>
      <x:c r="W3" s="135"/>
      <x:c r="X3" s="135"/>
      <x:c r="Y3" s="135"/>
      <x:c r="Z3" s="135"/>
      <x:c r="AA3" s="135"/>
      <x:c r="AB3" s="135"/>
      <x:c r="AC3" s="135"/>
      <x:c r="AD3" s="135"/>
      <x:c r="AE3" s="135"/>
      <x:c r="AF3" s="135"/>
      <x:c r="AG3" s="135"/>
      <x:c r="AH3" s="135"/>
      <x:c r="AI3" s="135"/>
      <x:c r="AJ3" s="135"/>
      <x:c r="AK3" s="135"/>
      <x:c r="AL3" s="135"/>
      <x:c r="AM3" s="135"/>
      <x:c r="AN3" s="135"/>
      <x:c r="AO3" s="135"/>
      <x:c r="AP3" s="135"/>
      <x:c r="AQ3" s="135"/>
      <x:c r="AR3" s="135"/>
      <x:c r="AS3" s="135"/>
      <x:c r="AT3" s="135"/>
      <x:c r="AU3" s="135"/>
      <x:c r="AV3" s="135"/>
      <x:c r="AW3" s="135"/>
      <x:c r="AX3" s="135"/>
      <x:c r="AY3" s="135"/>
      <x:c r="AZ3" s="135"/>
    </x:row>
    <x:row r="4" ht="13.5" customHeight="1">
      <x:c r="A4" s="140" t="str">
        <x:v>文書ID: EXPS-DES-99</x:v>
      </x:c>
      <x:c r="B4" s="140"/>
      <x:c r="C4" s="140"/>
      <x:c r="D4" s="140"/>
      <x:c r="E4" s="140"/>
      <x:c r="F4" s="140"/>
      <x:c r="G4" s="140"/>
      <x:c r="H4" s="140"/>
      <x:c r="I4" s="140"/>
      <x:c r="J4" s="140"/>
      <x:c r="K4" s="140"/>
      <x:c r="L4" s="140"/>
      <x:c r="M4" s="140" t="str">
        <x:v>版: 1.2</x:v>
      </x:c>
      <x:c r="N4" s="140"/>
      <x:c r="O4" s="140"/>
      <x:c r="P4" s="140"/>
      <x:c r="Q4" s="140"/>
      <x:c r="R4" s="140"/>
      <x:c r="S4" s="140" t="str">
        <x:v>状態: レビュー中</x:v>
      </x:c>
      <x:c r="T4" s="140"/>
      <x:c r="U4" s="140"/>
      <x:c r="V4" s="140"/>
      <x:c r="W4" s="140"/>
      <x:c r="X4" s="140"/>
      <x:c r="Y4" s="140"/>
      <x:c r="Z4" s="140"/>
      <x:c r="AA4" s="140"/>
      <x:c r="AB4" s="140"/>
      <x:c r="AC4" s="140"/>
      <x:c r="AD4" s="140"/>
      <x:c r="AE4" s="140"/>
      <x:c r="AF4" s="140" t="str">
        <x:v>主管: 業務システム部</x:v>
      </x:c>
      <x:c r="AG4" s="140"/>
      <x:c r="AH4" s="140"/>
      <x:c r="AI4" s="140"/>
      <x:c r="AJ4" s="140"/>
      <x:c r="AK4" s="140"/>
      <x:c r="AL4" s="140"/>
      <x:c r="AM4" s="140"/>
      <x:c r="AN4" s="140"/>
      <x:c r="AO4" s="140"/>
      <x:c r="AP4" s="140"/>
      <x:c r="AQ4" s="140"/>
      <x:c r="AR4" s="140" t="str">
        <x:v>更新: 2026-08-23</x:v>
      </x:c>
      <x:c r="AS4" s="140"/>
      <x:c r="AT4" s="140"/>
      <x:c r="AU4" s="140"/>
      <x:c r="AV4" s="140"/>
      <x:c r="AW4" s="140"/>
      <x:c r="AX4" s="140"/>
      <x:c r="AY4" s="140"/>
      <x:c r="AZ4" s="140"/>
    </x:row>
    <x:row r="5" ht="13.5" customHeight="1">
      <x:c r="A5" s="2"/>
      <x:c r="B5" s="77" t="str">
        <x:v>99.1 図形凡例</x:v>
      </x:c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  <x:c r="AA5" s="78"/>
      <x:c r="AB5" s="78"/>
      <x:c r="AC5" s="78"/>
      <x:c r="AD5" s="78"/>
      <x:c r="AE5" s="78"/>
      <x:c r="AF5" s="78"/>
      <x:c r="AG5" s="78"/>
      <x:c r="AH5" s="78"/>
      <x:c r="AI5" s="78"/>
      <x:c r="AJ5" s="78"/>
      <x:c r="AK5" s="78"/>
      <x:c r="AL5" s="78"/>
      <x:c r="AM5" s="78"/>
      <x:c r="AN5" s="78"/>
      <x:c r="AO5" s="78"/>
      <x:c r="AP5" s="78"/>
      <x:c r="AQ5" s="78"/>
      <x:c r="AR5" s="78"/>
      <x:c r="AS5" s="78"/>
      <x:c r="AT5" s="78"/>
      <x:c r="AU5" s="78"/>
      <x:c r="AV5" s="78"/>
      <x:c r="AW5" s="78"/>
      <x:c r="AX5" s="79"/>
      <x:c r="AY5" s="2"/>
      <x:c r="AZ5" s="2"/>
    </x:row>
    <x:row r="6" ht="13.5" customHeight="1">
      <x:c r="A6" s="2"/>
      <x:c r="B6" s="80"/>
      <x:c r="C6" s="8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  <x:c r="AA6" s="81"/>
      <x:c r="AB6" s="81"/>
      <x:c r="AC6" s="81"/>
      <x:c r="AD6" s="81"/>
      <x:c r="AE6" s="81"/>
      <x:c r="AF6" s="81"/>
      <x:c r="AG6" s="81"/>
      <x:c r="AH6" s="81"/>
      <x:c r="AI6" s="81"/>
      <x:c r="AJ6" s="81"/>
      <x:c r="AK6" s="81"/>
      <x:c r="AL6" s="81"/>
      <x:c r="AM6" s="81"/>
      <x:c r="AN6" s="81"/>
      <x:c r="AO6" s="81"/>
      <x:c r="AP6" s="81"/>
      <x:c r="AQ6" s="81"/>
      <x:c r="AR6" s="81"/>
      <x:c r="AS6" s="81"/>
      <x:c r="AT6" s="81"/>
      <x:c r="AU6" s="81"/>
      <x:c r="AV6" s="81"/>
      <x:c r="AW6" s="81"/>
      <x:c r="AX6" s="82"/>
      <x:c r="AY6" s="2"/>
      <x:c r="AZ6" s="2"/>
    </x:row>
    <x:row r="7" ht="13.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13.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 ht="13.5" customHeight="1">
      <x:c r="A9" s="2"/>
      <x:c r="B9" s="2"/>
      <x:c r="C9" s="403" t="str">
        <x:v>開始／終了</x:v>
      </x:c>
      <x:c r="D9" s="403"/>
      <x:c r="E9" s="403"/>
      <x:c r="F9" s="403"/>
      <x:c r="G9" s="403"/>
      <x:c r="H9" s="403"/>
      <x:c r="I9" s="403"/>
      <x:c r="J9" s="403"/>
      <x:c r="K9" s="2"/>
      <x:c r="L9" s="1314" t="str">
        <x:v>処理フローの開始・終了（端子）</x:v>
      </x:c>
      <x:c r="M9" s="1314"/>
      <x:c r="N9" s="1314"/>
      <x:c r="O9" s="1314"/>
      <x:c r="P9" s="1314"/>
      <x:c r="Q9" s="1314"/>
      <x:c r="R9" s="1314"/>
      <x:c r="S9" s="1314"/>
      <x:c r="T9" s="1314"/>
      <x:c r="U9" s="1314"/>
      <x:c r="V9" s="1314"/>
      <x:c r="W9" s="1314"/>
      <x:c r="X9" s="1314"/>
      <x:c r="Y9" s="1314"/>
      <x:c r="Z9" s="2"/>
      <x:c r="AA9" s="2"/>
      <x:c r="AB9" s="403" t="str">
        <x:v>処理</x:v>
      </x:c>
      <x:c r="AC9" s="403"/>
      <x:c r="AD9" s="403"/>
      <x:c r="AE9" s="403"/>
      <x:c r="AF9" s="403"/>
      <x:c r="AG9" s="403"/>
      <x:c r="AH9" s="403"/>
      <x:c r="AI9" s="403"/>
      <x:c r="AJ9" s="2"/>
      <x:c r="AK9" s="1314" t="str">
        <x:v>通常の処理・作業ステップ</x:v>
      </x:c>
      <x:c r="AL9" s="1314"/>
      <x:c r="AM9" s="1314"/>
      <x:c r="AN9" s="1314"/>
      <x:c r="AO9" s="1314"/>
      <x:c r="AP9" s="1314"/>
      <x:c r="AQ9" s="1314"/>
      <x:c r="AR9" s="1314"/>
      <x:c r="AS9" s="1314"/>
      <x:c r="AT9" s="1314"/>
      <x:c r="AU9" s="1314"/>
      <x:c r="AV9" s="1314"/>
      <x:c r="AW9" s="1314"/>
      <x:c r="AX9" s="1314"/>
      <x:c r="AY9" s="2"/>
      <x:c r="AZ9" s="2"/>
    </x:row>
    <x:row r="10" ht="13.5" customHeight="1">
      <x:c r="A10" s="2"/>
      <x:c r="B10" s="2"/>
      <x:c r="C10" s="403"/>
      <x:c r="D10" s="403"/>
      <x:c r="E10" s="403"/>
      <x:c r="F10" s="403"/>
      <x:c r="G10" s="403"/>
      <x:c r="H10" s="403"/>
      <x:c r="I10" s="403"/>
      <x:c r="J10" s="403"/>
      <x:c r="K10" s="2"/>
      <x:c r="L10" s="1314"/>
      <x:c r="M10" s="1314"/>
      <x:c r="N10" s="1314"/>
      <x:c r="O10" s="1314"/>
      <x:c r="P10" s="1314"/>
      <x:c r="Q10" s="1314"/>
      <x:c r="R10" s="1314"/>
      <x:c r="S10" s="1314"/>
      <x:c r="T10" s="1314"/>
      <x:c r="U10" s="1314"/>
      <x:c r="V10" s="1314"/>
      <x:c r="W10" s="1314"/>
      <x:c r="X10" s="1314"/>
      <x:c r="Y10" s="1314"/>
      <x:c r="Z10" s="2"/>
      <x:c r="AA10" s="2"/>
      <x:c r="AB10" s="403"/>
      <x:c r="AC10" s="403"/>
      <x:c r="AD10" s="403"/>
      <x:c r="AE10" s="403"/>
      <x:c r="AF10" s="403"/>
      <x:c r="AG10" s="403"/>
      <x:c r="AH10" s="403"/>
      <x:c r="AI10" s="403"/>
      <x:c r="AJ10" s="2"/>
      <x:c r="AK10" s="1314"/>
      <x:c r="AL10" s="1314"/>
      <x:c r="AM10" s="1314"/>
      <x:c r="AN10" s="1314"/>
      <x:c r="AO10" s="1314"/>
      <x:c r="AP10" s="1314"/>
      <x:c r="AQ10" s="1314"/>
      <x:c r="AR10" s="1314"/>
      <x:c r="AS10" s="1314"/>
      <x:c r="AT10" s="1314"/>
      <x:c r="AU10" s="1314"/>
      <x:c r="AV10" s="1314"/>
      <x:c r="AW10" s="1314"/>
      <x:c r="AX10" s="1314"/>
      <x:c r="AY10" s="2"/>
      <x:c r="AZ10" s="2"/>
    </x:row>
    <x:row r="11" ht="13.5" customHeight="1">
      <x:c r="A11" s="2"/>
      <x:c r="B11" s="2"/>
      <x:c r="C11" s="403"/>
      <x:c r="D11" s="403"/>
      <x:c r="E11" s="403"/>
      <x:c r="F11" s="403"/>
      <x:c r="G11" s="403"/>
      <x:c r="H11" s="403"/>
      <x:c r="I11" s="403"/>
      <x:c r="J11" s="403"/>
      <x:c r="K11" s="2"/>
      <x:c r="L11" s="1314"/>
      <x:c r="M11" s="1314"/>
      <x:c r="N11" s="1314"/>
      <x:c r="O11" s="1314"/>
      <x:c r="P11" s="1314"/>
      <x:c r="Q11" s="1314"/>
      <x:c r="R11" s="1314"/>
      <x:c r="S11" s="1314"/>
      <x:c r="T11" s="1314"/>
      <x:c r="U11" s="1314"/>
      <x:c r="V11" s="1314"/>
      <x:c r="W11" s="1314"/>
      <x:c r="X11" s="1314"/>
      <x:c r="Y11" s="1314"/>
      <x:c r="Z11" s="2"/>
      <x:c r="AA11" s="2"/>
      <x:c r="AB11" s="403"/>
      <x:c r="AC11" s="403"/>
      <x:c r="AD11" s="403"/>
      <x:c r="AE11" s="403"/>
      <x:c r="AF11" s="403"/>
      <x:c r="AG11" s="403"/>
      <x:c r="AH11" s="403"/>
      <x:c r="AI11" s="403"/>
      <x:c r="AJ11" s="2"/>
      <x:c r="AK11" s="1314"/>
      <x:c r="AL11" s="1314"/>
      <x:c r="AM11" s="1314"/>
      <x:c r="AN11" s="1314"/>
      <x:c r="AO11" s="1314"/>
      <x:c r="AP11" s="1314"/>
      <x:c r="AQ11" s="1314"/>
      <x:c r="AR11" s="1314"/>
      <x:c r="AS11" s="1314"/>
      <x:c r="AT11" s="1314"/>
      <x:c r="AU11" s="1314"/>
      <x:c r="AV11" s="1314"/>
      <x:c r="AW11" s="1314"/>
      <x:c r="AX11" s="1314"/>
      <x:c r="AY11" s="2"/>
      <x:c r="AZ11" s="2"/>
    </x:row>
    <x:row r="12" ht="13.5" customHeight="1">
      <x:c r="A12" s="2"/>
      <x:c r="B12" s="2"/>
      <x:c r="C12" s="403"/>
      <x:c r="D12" s="403"/>
      <x:c r="E12" s="403"/>
      <x:c r="F12" s="403"/>
      <x:c r="G12" s="403"/>
      <x:c r="H12" s="403"/>
      <x:c r="I12" s="403"/>
      <x:c r="J12" s="403"/>
      <x:c r="K12" s="2"/>
      <x:c r="L12" s="1314"/>
      <x:c r="M12" s="1314"/>
      <x:c r="N12" s="1314"/>
      <x:c r="O12" s="1314"/>
      <x:c r="P12" s="1314"/>
      <x:c r="Q12" s="1314"/>
      <x:c r="R12" s="1314"/>
      <x:c r="S12" s="1314"/>
      <x:c r="T12" s="1314"/>
      <x:c r="U12" s="1314"/>
      <x:c r="V12" s="1314"/>
      <x:c r="W12" s="1314"/>
      <x:c r="X12" s="1314"/>
      <x:c r="Y12" s="1314"/>
      <x:c r="Z12" s="2"/>
      <x:c r="AA12" s="2"/>
      <x:c r="AB12" s="403"/>
      <x:c r="AC12" s="403"/>
      <x:c r="AD12" s="403"/>
      <x:c r="AE12" s="403"/>
      <x:c r="AF12" s="403"/>
      <x:c r="AG12" s="403"/>
      <x:c r="AH12" s="403"/>
      <x:c r="AI12" s="403"/>
      <x:c r="AJ12" s="2"/>
      <x:c r="AK12" s="1314"/>
      <x:c r="AL12" s="1314"/>
      <x:c r="AM12" s="1314"/>
      <x:c r="AN12" s="1314"/>
      <x:c r="AO12" s="1314"/>
      <x:c r="AP12" s="1314"/>
      <x:c r="AQ12" s="1314"/>
      <x:c r="AR12" s="1314"/>
      <x:c r="AS12" s="1314"/>
      <x:c r="AT12" s="1314"/>
      <x:c r="AU12" s="1314"/>
      <x:c r="AV12" s="1314"/>
      <x:c r="AW12" s="1314"/>
      <x:c r="AX12" s="1314"/>
      <x:c r="AY12" s="2"/>
      <x:c r="AZ12" s="2"/>
    </x:row>
    <x:row r="13" ht="13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 ht="13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 ht="13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 ht="13.5" customHeight="1">
      <x:c r="A16" s="2"/>
      <x:c r="B16" s="2"/>
      <x:c r="C16" s="403" t="str">
        <x:v>判断</x:v>
      </x:c>
      <x:c r="D16" s="403"/>
      <x:c r="E16" s="403"/>
      <x:c r="F16" s="403"/>
      <x:c r="G16" s="403"/>
      <x:c r="H16" s="403"/>
      <x:c r="I16" s="403"/>
      <x:c r="J16" s="403"/>
      <x:c r="K16" s="2"/>
      <x:c r="L16" s="1314" t="str">
        <x:v>条件により経路が分岐。矢印に結果名を付ける</x:v>
      </x:c>
      <x:c r="M16" s="1314"/>
      <x:c r="N16" s="1314"/>
      <x:c r="O16" s="1314"/>
      <x:c r="P16" s="1314"/>
      <x:c r="Q16" s="1314"/>
      <x:c r="R16" s="1314"/>
      <x:c r="S16" s="1314"/>
      <x:c r="T16" s="1314"/>
      <x:c r="U16" s="1314"/>
      <x:c r="V16" s="1314"/>
      <x:c r="W16" s="1314"/>
      <x:c r="X16" s="1314"/>
      <x:c r="Y16" s="1314"/>
      <x:c r="Z16" s="2"/>
      <x:c r="AA16" s="2"/>
      <x:c r="AB16" s="403" t="str">
        <x:v>入出力</x:v>
      </x:c>
      <x:c r="AC16" s="403"/>
      <x:c r="AD16" s="403"/>
      <x:c r="AE16" s="403"/>
      <x:c r="AF16" s="403"/>
      <x:c r="AG16" s="403"/>
      <x:c r="AH16" s="403"/>
      <x:c r="AI16" s="403"/>
      <x:c r="AJ16" s="2"/>
      <x:c r="AK16" s="1314" t="str">
        <x:v>利用者入力、ファイル、外部とのデータ入出力</x:v>
      </x:c>
      <x:c r="AL16" s="1314"/>
      <x:c r="AM16" s="1314"/>
      <x:c r="AN16" s="1314"/>
      <x:c r="AO16" s="1314"/>
      <x:c r="AP16" s="1314"/>
      <x:c r="AQ16" s="1314"/>
      <x:c r="AR16" s="1314"/>
      <x:c r="AS16" s="1314"/>
      <x:c r="AT16" s="1314"/>
      <x:c r="AU16" s="1314"/>
      <x:c r="AV16" s="1314"/>
      <x:c r="AW16" s="1314"/>
      <x:c r="AX16" s="1314"/>
      <x:c r="AY16" s="2"/>
      <x:c r="AZ16" s="2"/>
    </x:row>
    <x:row r="17" ht="13.5" customHeight="1">
      <x:c r="A17" s="2"/>
      <x:c r="B17" s="2"/>
      <x:c r="C17" s="403"/>
      <x:c r="D17" s="403"/>
      <x:c r="E17" s="403"/>
      <x:c r="F17" s="403"/>
      <x:c r="G17" s="403"/>
      <x:c r="H17" s="403"/>
      <x:c r="I17" s="403"/>
      <x:c r="J17" s="403"/>
      <x:c r="K17" s="2"/>
      <x:c r="L17" s="1314"/>
      <x:c r="M17" s="1314"/>
      <x:c r="N17" s="1314"/>
      <x:c r="O17" s="1314"/>
      <x:c r="P17" s="1314"/>
      <x:c r="Q17" s="1314"/>
      <x:c r="R17" s="1314"/>
      <x:c r="S17" s="1314"/>
      <x:c r="T17" s="1314"/>
      <x:c r="U17" s="1314"/>
      <x:c r="V17" s="1314"/>
      <x:c r="W17" s="1314"/>
      <x:c r="X17" s="1314"/>
      <x:c r="Y17" s="1314"/>
      <x:c r="Z17" s="2"/>
      <x:c r="AA17" s="2"/>
      <x:c r="AB17" s="403"/>
      <x:c r="AC17" s="403"/>
      <x:c r="AD17" s="403"/>
      <x:c r="AE17" s="403"/>
      <x:c r="AF17" s="403"/>
      <x:c r="AG17" s="403"/>
      <x:c r="AH17" s="403"/>
      <x:c r="AI17" s="403"/>
      <x:c r="AJ17" s="2"/>
      <x:c r="AK17" s="1314"/>
      <x:c r="AL17" s="1314"/>
      <x:c r="AM17" s="1314"/>
      <x:c r="AN17" s="1314"/>
      <x:c r="AO17" s="1314"/>
      <x:c r="AP17" s="1314"/>
      <x:c r="AQ17" s="1314"/>
      <x:c r="AR17" s="1314"/>
      <x:c r="AS17" s="1314"/>
      <x:c r="AT17" s="1314"/>
      <x:c r="AU17" s="1314"/>
      <x:c r="AV17" s="1314"/>
      <x:c r="AW17" s="1314"/>
      <x:c r="AX17" s="1314"/>
      <x:c r="AY17" s="2"/>
      <x:c r="AZ17" s="2"/>
    </x:row>
    <x:row r="18" ht="13.5" customHeight="1">
      <x:c r="A18" s="2"/>
      <x:c r="B18" s="2"/>
      <x:c r="C18" s="403"/>
      <x:c r="D18" s="403"/>
      <x:c r="E18" s="403"/>
      <x:c r="F18" s="403"/>
      <x:c r="G18" s="403"/>
      <x:c r="H18" s="403"/>
      <x:c r="I18" s="403"/>
      <x:c r="J18" s="403"/>
      <x:c r="K18" s="2"/>
      <x:c r="L18" s="1314"/>
      <x:c r="M18" s="1314"/>
      <x:c r="N18" s="1314"/>
      <x:c r="O18" s="1314"/>
      <x:c r="P18" s="1314"/>
      <x:c r="Q18" s="1314"/>
      <x:c r="R18" s="1314"/>
      <x:c r="S18" s="1314"/>
      <x:c r="T18" s="1314"/>
      <x:c r="U18" s="1314"/>
      <x:c r="V18" s="1314"/>
      <x:c r="W18" s="1314"/>
      <x:c r="X18" s="1314"/>
      <x:c r="Y18" s="1314"/>
      <x:c r="Z18" s="2"/>
      <x:c r="AA18" s="2"/>
      <x:c r="AB18" s="403"/>
      <x:c r="AC18" s="403"/>
      <x:c r="AD18" s="403"/>
      <x:c r="AE18" s="403"/>
      <x:c r="AF18" s="403"/>
      <x:c r="AG18" s="403"/>
      <x:c r="AH18" s="403"/>
      <x:c r="AI18" s="403"/>
      <x:c r="AJ18" s="2"/>
      <x:c r="AK18" s="1314"/>
      <x:c r="AL18" s="1314"/>
      <x:c r="AM18" s="1314"/>
      <x:c r="AN18" s="1314"/>
      <x:c r="AO18" s="1314"/>
      <x:c r="AP18" s="1314"/>
      <x:c r="AQ18" s="1314"/>
      <x:c r="AR18" s="1314"/>
      <x:c r="AS18" s="1314"/>
      <x:c r="AT18" s="1314"/>
      <x:c r="AU18" s="1314"/>
      <x:c r="AV18" s="1314"/>
      <x:c r="AW18" s="1314"/>
      <x:c r="AX18" s="1314"/>
      <x:c r="AY18" s="2"/>
      <x:c r="AZ18" s="2"/>
    </x:row>
    <x:row r="19" ht="13.5" customHeight="1">
      <x:c r="A19" s="2"/>
      <x:c r="B19" s="2"/>
      <x:c r="C19" s="403"/>
      <x:c r="D19" s="403"/>
      <x:c r="E19" s="403"/>
      <x:c r="F19" s="403"/>
      <x:c r="G19" s="403"/>
      <x:c r="H19" s="403"/>
      <x:c r="I19" s="403"/>
      <x:c r="J19" s="403"/>
      <x:c r="K19" s="2"/>
      <x:c r="L19" s="1314"/>
      <x:c r="M19" s="1314"/>
      <x:c r="N19" s="1314"/>
      <x:c r="O19" s="1314"/>
      <x:c r="P19" s="1314"/>
      <x:c r="Q19" s="1314"/>
      <x:c r="R19" s="1314"/>
      <x:c r="S19" s="1314"/>
      <x:c r="T19" s="1314"/>
      <x:c r="U19" s="1314"/>
      <x:c r="V19" s="1314"/>
      <x:c r="W19" s="1314"/>
      <x:c r="X19" s="1314"/>
      <x:c r="Y19" s="1314"/>
      <x:c r="Z19" s="2"/>
      <x:c r="AA19" s="2"/>
      <x:c r="AB19" s="403"/>
      <x:c r="AC19" s="403"/>
      <x:c r="AD19" s="403"/>
      <x:c r="AE19" s="403"/>
      <x:c r="AF19" s="403"/>
      <x:c r="AG19" s="403"/>
      <x:c r="AH19" s="403"/>
      <x:c r="AI19" s="403"/>
      <x:c r="AJ19" s="2"/>
      <x:c r="AK19" s="1314"/>
      <x:c r="AL19" s="1314"/>
      <x:c r="AM19" s="1314"/>
      <x:c r="AN19" s="1314"/>
      <x:c r="AO19" s="1314"/>
      <x:c r="AP19" s="1314"/>
      <x:c r="AQ19" s="1314"/>
      <x:c r="AR19" s="1314"/>
      <x:c r="AS19" s="1314"/>
      <x:c r="AT19" s="1314"/>
      <x:c r="AU19" s="1314"/>
      <x:c r="AV19" s="1314"/>
      <x:c r="AW19" s="1314"/>
      <x:c r="AX19" s="1314"/>
      <x:c r="AY19" s="2"/>
      <x:c r="AZ19" s="2"/>
    </x:row>
    <x:row r="20" ht="13.5" customHeight="1">
      <x:c r="A20" s="2"/>
      <x:c r="B20" s="2"/>
      <x:c r="C20" s="403"/>
      <x:c r="D20" s="403"/>
      <x:c r="E20" s="403"/>
      <x:c r="F20" s="403"/>
      <x:c r="G20" s="403"/>
      <x:c r="H20" s="403"/>
      <x:c r="I20" s="403"/>
      <x:c r="J20" s="403"/>
      <x:c r="K20" s="2"/>
      <x:c r="L20" s="1314"/>
      <x:c r="M20" s="1314"/>
      <x:c r="N20" s="1314"/>
      <x:c r="O20" s="1314"/>
      <x:c r="P20" s="1314"/>
      <x:c r="Q20" s="1314"/>
      <x:c r="R20" s="1314"/>
      <x:c r="S20" s="1314"/>
      <x:c r="T20" s="1314"/>
      <x:c r="U20" s="1314"/>
      <x:c r="V20" s="1314"/>
      <x:c r="W20" s="1314"/>
      <x:c r="X20" s="1314"/>
      <x:c r="Y20" s="1314"/>
      <x:c r="Z20" s="2"/>
      <x:c r="AA20" s="2"/>
      <x:c r="AB20" s="403"/>
      <x:c r="AC20" s="403"/>
      <x:c r="AD20" s="403"/>
      <x:c r="AE20" s="403"/>
      <x:c r="AF20" s="403"/>
      <x:c r="AG20" s="403"/>
      <x:c r="AH20" s="403"/>
      <x:c r="AI20" s="403"/>
      <x:c r="AJ20" s="2"/>
      <x:c r="AK20" s="1314"/>
      <x:c r="AL20" s="1314"/>
      <x:c r="AM20" s="1314"/>
      <x:c r="AN20" s="1314"/>
      <x:c r="AO20" s="1314"/>
      <x:c r="AP20" s="1314"/>
      <x:c r="AQ20" s="1314"/>
      <x:c r="AR20" s="1314"/>
      <x:c r="AS20" s="1314"/>
      <x:c r="AT20" s="1314"/>
      <x:c r="AU20" s="1314"/>
      <x:c r="AV20" s="1314"/>
      <x:c r="AW20" s="1314"/>
      <x:c r="AX20" s="1314"/>
      <x:c r="AY20" s="2"/>
      <x:c r="AZ20" s="2"/>
    </x:row>
    <x:row r="21" ht="13.5" customHeight="1">
      <x:c r="A21" s="2"/>
      <x:c r="B21" s="2"/>
      <x:c r="C21" s="403"/>
      <x:c r="D21" s="403"/>
      <x:c r="E21" s="403"/>
      <x:c r="F21" s="403"/>
      <x:c r="G21" s="403"/>
      <x:c r="H21" s="403"/>
      <x:c r="I21" s="403"/>
      <x:c r="J21" s="403"/>
      <x:c r="K21" s="2"/>
      <x:c r="L21" s="1314"/>
      <x:c r="M21" s="1314"/>
      <x:c r="N21" s="1314"/>
      <x:c r="O21" s="1314"/>
      <x:c r="P21" s="1314"/>
      <x:c r="Q21" s="1314"/>
      <x:c r="R21" s="1314"/>
      <x:c r="S21" s="1314"/>
      <x:c r="T21" s="1314"/>
      <x:c r="U21" s="1314"/>
      <x:c r="V21" s="1314"/>
      <x:c r="W21" s="1314"/>
      <x:c r="X21" s="1314"/>
      <x:c r="Y21" s="1314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 ht="13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 ht="13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 ht="13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 ht="13.5" customHeight="1">
      <x:c r="A25" s="2"/>
      <x:c r="B25" s="2"/>
      <x:c r="C25" s="403" t="str">
        <x:v>DB</x:v>
      </x:c>
      <x:c r="D25" s="403"/>
      <x:c r="E25" s="403"/>
      <x:c r="F25" s="403"/>
      <x:c r="G25" s="403"/>
      <x:c r="H25" s="403"/>
      <x:c r="I25" s="403"/>
      <x:c r="J25" s="403"/>
      <x:c r="K25" s="2"/>
      <x:c r="L25" s="1314" t="str">
        <x:v>永続データストア／テーブル更新</x:v>
      </x:c>
      <x:c r="M25" s="1314"/>
      <x:c r="N25" s="1314"/>
      <x:c r="O25" s="1314"/>
      <x:c r="P25" s="1314"/>
      <x:c r="Q25" s="1314"/>
      <x:c r="R25" s="1314"/>
      <x:c r="S25" s="1314"/>
      <x:c r="T25" s="1314"/>
      <x:c r="U25" s="1314"/>
      <x:c r="V25" s="1314"/>
      <x:c r="W25" s="1314"/>
      <x:c r="X25" s="1314"/>
      <x:c r="Y25" s="1314"/>
      <x:c r="Z25" s="2"/>
      <x:c r="AA25" s="2"/>
      <x:c r="AB25" s="403" t="str">
        <x:v>状態</x:v>
      </x:c>
      <x:c r="AC25" s="403"/>
      <x:c r="AD25" s="403"/>
      <x:c r="AE25" s="403"/>
      <x:c r="AF25" s="403"/>
      <x:c r="AG25" s="403"/>
      <x:c r="AH25" s="403"/>
      <x:c r="AI25" s="403"/>
      <x:c r="AJ25" s="2"/>
      <x:c r="AK25" s="1314" t="str">
        <x:v>振る舞い図の安定した状態</x:v>
      </x:c>
      <x:c r="AL25" s="1314"/>
      <x:c r="AM25" s="1314"/>
      <x:c r="AN25" s="1314"/>
      <x:c r="AO25" s="1314"/>
      <x:c r="AP25" s="1314"/>
      <x:c r="AQ25" s="1314"/>
      <x:c r="AR25" s="1314"/>
      <x:c r="AS25" s="1314"/>
      <x:c r="AT25" s="1314"/>
      <x:c r="AU25" s="1314"/>
      <x:c r="AV25" s="1314"/>
      <x:c r="AW25" s="1314"/>
      <x:c r="AX25" s="1314"/>
      <x:c r="AY25" s="2"/>
      <x:c r="AZ25" s="2"/>
    </x:row>
    <x:row r="26" ht="13.5" customHeight="1">
      <x:c r="A26" s="2"/>
      <x:c r="B26" s="2"/>
      <x:c r="C26" s="403"/>
      <x:c r="D26" s="403"/>
      <x:c r="E26" s="403"/>
      <x:c r="F26" s="403"/>
      <x:c r="G26" s="403"/>
      <x:c r="H26" s="403"/>
      <x:c r="I26" s="403"/>
      <x:c r="J26" s="403"/>
      <x:c r="K26" s="2"/>
      <x:c r="L26" s="1314"/>
      <x:c r="M26" s="1314"/>
      <x:c r="N26" s="1314"/>
      <x:c r="O26" s="1314"/>
      <x:c r="P26" s="1314"/>
      <x:c r="Q26" s="1314"/>
      <x:c r="R26" s="1314"/>
      <x:c r="S26" s="1314"/>
      <x:c r="T26" s="1314"/>
      <x:c r="U26" s="1314"/>
      <x:c r="V26" s="1314"/>
      <x:c r="W26" s="1314"/>
      <x:c r="X26" s="1314"/>
      <x:c r="Y26" s="1314"/>
      <x:c r="Z26" s="2"/>
      <x:c r="AA26" s="2"/>
      <x:c r="AB26" s="403"/>
      <x:c r="AC26" s="403"/>
      <x:c r="AD26" s="403"/>
      <x:c r="AE26" s="403"/>
      <x:c r="AF26" s="403"/>
      <x:c r="AG26" s="403"/>
      <x:c r="AH26" s="403"/>
      <x:c r="AI26" s="403"/>
      <x:c r="AJ26" s="2"/>
      <x:c r="AK26" s="1314"/>
      <x:c r="AL26" s="1314"/>
      <x:c r="AM26" s="1314"/>
      <x:c r="AN26" s="1314"/>
      <x:c r="AO26" s="1314"/>
      <x:c r="AP26" s="1314"/>
      <x:c r="AQ26" s="1314"/>
      <x:c r="AR26" s="1314"/>
      <x:c r="AS26" s="1314"/>
      <x:c r="AT26" s="1314"/>
      <x:c r="AU26" s="1314"/>
      <x:c r="AV26" s="1314"/>
      <x:c r="AW26" s="1314"/>
      <x:c r="AX26" s="1314"/>
      <x:c r="AY26" s="2"/>
      <x:c r="AZ26" s="2"/>
    </x:row>
    <x:row r="27" ht="13.5" customHeight="1">
      <x:c r="A27" s="2"/>
      <x:c r="B27" s="2"/>
      <x:c r="C27" s="403"/>
      <x:c r="D27" s="403"/>
      <x:c r="E27" s="403"/>
      <x:c r="F27" s="403"/>
      <x:c r="G27" s="403"/>
      <x:c r="H27" s="403"/>
      <x:c r="I27" s="403"/>
      <x:c r="J27" s="403"/>
      <x:c r="K27" s="2"/>
      <x:c r="L27" s="1314"/>
      <x:c r="M27" s="1314"/>
      <x:c r="N27" s="1314"/>
      <x:c r="O27" s="1314"/>
      <x:c r="P27" s="1314"/>
      <x:c r="Q27" s="1314"/>
      <x:c r="R27" s="1314"/>
      <x:c r="S27" s="1314"/>
      <x:c r="T27" s="1314"/>
      <x:c r="U27" s="1314"/>
      <x:c r="V27" s="1314"/>
      <x:c r="W27" s="1314"/>
      <x:c r="X27" s="1314"/>
      <x:c r="Y27" s="1314"/>
      <x:c r="Z27" s="2"/>
      <x:c r="AA27" s="2"/>
      <x:c r="AB27" s="403"/>
      <x:c r="AC27" s="403"/>
      <x:c r="AD27" s="403"/>
      <x:c r="AE27" s="403"/>
      <x:c r="AF27" s="403"/>
      <x:c r="AG27" s="403"/>
      <x:c r="AH27" s="403"/>
      <x:c r="AI27" s="403"/>
      <x:c r="AJ27" s="2"/>
      <x:c r="AK27" s="1314"/>
      <x:c r="AL27" s="1314"/>
      <x:c r="AM27" s="1314"/>
      <x:c r="AN27" s="1314"/>
      <x:c r="AO27" s="1314"/>
      <x:c r="AP27" s="1314"/>
      <x:c r="AQ27" s="1314"/>
      <x:c r="AR27" s="1314"/>
      <x:c r="AS27" s="1314"/>
      <x:c r="AT27" s="1314"/>
      <x:c r="AU27" s="1314"/>
      <x:c r="AV27" s="1314"/>
      <x:c r="AW27" s="1314"/>
      <x:c r="AX27" s="1314"/>
      <x:c r="AY27" s="2"/>
      <x:c r="AZ27" s="2"/>
    </x:row>
    <x:row r="28" ht="13.5" customHeight="1">
      <x:c r="A28" s="2"/>
      <x:c r="B28" s="2"/>
      <x:c r="C28" s="403"/>
      <x:c r="D28" s="403"/>
      <x:c r="E28" s="403"/>
      <x:c r="F28" s="403"/>
      <x:c r="G28" s="403"/>
      <x:c r="H28" s="403"/>
      <x:c r="I28" s="403"/>
      <x:c r="J28" s="403"/>
      <x:c r="K28" s="2"/>
      <x:c r="L28" s="1314"/>
      <x:c r="M28" s="1314"/>
      <x:c r="N28" s="1314"/>
      <x:c r="O28" s="1314"/>
      <x:c r="P28" s="1314"/>
      <x:c r="Q28" s="1314"/>
      <x:c r="R28" s="1314"/>
      <x:c r="S28" s="1314"/>
      <x:c r="T28" s="1314"/>
      <x:c r="U28" s="1314"/>
      <x:c r="V28" s="1314"/>
      <x:c r="W28" s="1314"/>
      <x:c r="X28" s="1314"/>
      <x:c r="Y28" s="1314"/>
      <x:c r="Z28" s="2"/>
      <x:c r="AA28" s="2"/>
      <x:c r="AB28" s="403"/>
      <x:c r="AC28" s="403"/>
      <x:c r="AD28" s="403"/>
      <x:c r="AE28" s="403"/>
      <x:c r="AF28" s="403"/>
      <x:c r="AG28" s="403"/>
      <x:c r="AH28" s="403"/>
      <x:c r="AI28" s="403"/>
      <x:c r="AJ28" s="2"/>
      <x:c r="AK28" s="1314"/>
      <x:c r="AL28" s="1314"/>
      <x:c r="AM28" s="1314"/>
      <x:c r="AN28" s="1314"/>
      <x:c r="AO28" s="1314"/>
      <x:c r="AP28" s="1314"/>
      <x:c r="AQ28" s="1314"/>
      <x:c r="AR28" s="1314"/>
      <x:c r="AS28" s="1314"/>
      <x:c r="AT28" s="1314"/>
      <x:c r="AU28" s="1314"/>
      <x:c r="AV28" s="1314"/>
      <x:c r="AW28" s="1314"/>
      <x:c r="AX28" s="1314"/>
      <x:c r="AY28" s="2"/>
      <x:c r="AZ28" s="2"/>
    </x:row>
    <x:row r="29" ht="13.5" customHeight="1">
      <x:c r="A29" s="2"/>
      <x:c r="B29" s="2"/>
      <x:c r="C29" s="403"/>
      <x:c r="D29" s="403"/>
      <x:c r="E29" s="403"/>
      <x:c r="F29" s="403"/>
      <x:c r="G29" s="403"/>
      <x:c r="H29" s="403"/>
      <x:c r="I29" s="403"/>
      <x:c r="J29" s="403"/>
      <x:c r="K29" s="2"/>
      <x:c r="L29" s="1314"/>
      <x:c r="M29" s="1314"/>
      <x:c r="N29" s="1314"/>
      <x:c r="O29" s="1314"/>
      <x:c r="P29" s="1314"/>
      <x:c r="Q29" s="1314"/>
      <x:c r="R29" s="1314"/>
      <x:c r="S29" s="1314"/>
      <x:c r="T29" s="1314"/>
      <x:c r="U29" s="1314"/>
      <x:c r="V29" s="1314"/>
      <x:c r="W29" s="1314"/>
      <x:c r="X29" s="1314"/>
      <x:c r="Y29" s="1314"/>
      <x:c r="Z29" s="2"/>
      <x:c r="AA29" s="2"/>
      <x:c r="AB29" s="403"/>
      <x:c r="AC29" s="403"/>
      <x:c r="AD29" s="403"/>
      <x:c r="AE29" s="403"/>
      <x:c r="AF29" s="403"/>
      <x:c r="AG29" s="403"/>
      <x:c r="AH29" s="403"/>
      <x:c r="AI29" s="403"/>
      <x:c r="AJ29" s="2"/>
      <x:c r="AK29" s="1314"/>
      <x:c r="AL29" s="1314"/>
      <x:c r="AM29" s="1314"/>
      <x:c r="AN29" s="1314"/>
      <x:c r="AO29" s="1314"/>
      <x:c r="AP29" s="1314"/>
      <x:c r="AQ29" s="1314"/>
      <x:c r="AR29" s="1314"/>
      <x:c r="AS29" s="1314"/>
      <x:c r="AT29" s="1314"/>
      <x:c r="AU29" s="1314"/>
      <x:c r="AV29" s="1314"/>
      <x:c r="AW29" s="1314"/>
      <x:c r="AX29" s="1314"/>
      <x:c r="AY29" s="2"/>
      <x:c r="AZ29" s="2"/>
    </x:row>
    <x:row r="30" ht="13.5" customHeight="1">
      <x:c r="A30" s="2"/>
      <x:c r="B30" s="2"/>
      <x:c r="C30" s="403"/>
      <x:c r="D30" s="403"/>
      <x:c r="E30" s="403"/>
      <x:c r="F30" s="403"/>
      <x:c r="G30" s="403"/>
      <x:c r="H30" s="403"/>
      <x:c r="I30" s="403"/>
      <x:c r="J30" s="403"/>
      <x:c r="K30" s="2"/>
      <x:c r="L30" s="1314"/>
      <x:c r="M30" s="1314"/>
      <x:c r="N30" s="1314"/>
      <x:c r="O30" s="1314"/>
      <x:c r="P30" s="1314"/>
      <x:c r="Q30" s="1314"/>
      <x:c r="R30" s="1314"/>
      <x:c r="S30" s="1314"/>
      <x:c r="T30" s="1314"/>
      <x:c r="U30" s="1314"/>
      <x:c r="V30" s="1314"/>
      <x:c r="W30" s="1314"/>
      <x:c r="X30" s="1314"/>
      <x:c r="Y30" s="1314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 ht="13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 ht="13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 ht="13.5" customHeight="1">
      <x:c r="A33" s="2"/>
      <x:c r="B33" s="2"/>
      <x:c r="C33" s="148" t="str">
        <x:v>メッセージ／処理の流れ</x:v>
      </x:c>
      <x:c r="D33" s="148"/>
      <x:c r="E33" s="148"/>
      <x:c r="F33" s="148"/>
      <x:c r="G33" s="148"/>
      <x:c r="H33" s="148"/>
      <x:c r="I33" s="148"/>
      <x:c r="J33" s="148"/>
      <x:c r="K33" s="2"/>
      <x:c r="L33" s="1314" t="str">
        <x:v>実線矢印：呼出し・遷移・順方向フロー</x:v>
      </x:c>
      <x:c r="M33" s="1314"/>
      <x:c r="N33" s="1314"/>
      <x:c r="O33" s="1314"/>
      <x:c r="P33" s="1314"/>
      <x:c r="Q33" s="1314"/>
      <x:c r="R33" s="1314"/>
      <x:c r="S33" s="1314"/>
      <x:c r="T33" s="1314"/>
      <x:c r="U33" s="1314"/>
      <x:c r="V33" s="1314"/>
      <x:c r="W33" s="1314"/>
      <x:c r="X33" s="1314"/>
      <x:c r="Y33" s="1314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1314" t="str">
        <x:v>破線矢印：戻り値／再送・例外経路</x:v>
      </x:c>
      <x:c r="AL33" s="1314"/>
      <x:c r="AM33" s="1314"/>
      <x:c r="AN33" s="1314"/>
      <x:c r="AO33" s="1314"/>
      <x:c r="AP33" s="1314"/>
      <x:c r="AQ33" s="1314"/>
      <x:c r="AR33" s="1314"/>
      <x:c r="AS33" s="1314"/>
      <x:c r="AT33" s="1314"/>
      <x:c r="AU33" s="1314"/>
      <x:c r="AV33" s="1314"/>
      <x:c r="AW33" s="1314"/>
      <x:c r="AX33" s="1314"/>
      <x:c r="AY33" s="2"/>
      <x:c r="AZ33" s="2"/>
    </x:row>
    <x:row r="34" ht="13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1314"/>
      <x:c r="M34" s="1314"/>
      <x:c r="N34" s="1314"/>
      <x:c r="O34" s="1314"/>
      <x:c r="P34" s="1314"/>
      <x:c r="Q34" s="1314"/>
      <x:c r="R34" s="1314"/>
      <x:c r="S34" s="1314"/>
      <x:c r="T34" s="1314"/>
      <x:c r="U34" s="1314"/>
      <x:c r="V34" s="1314"/>
      <x:c r="W34" s="1314"/>
      <x:c r="X34" s="1314"/>
      <x:c r="Y34" s="1314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1314"/>
      <x:c r="AL34" s="1314"/>
      <x:c r="AM34" s="1314"/>
      <x:c r="AN34" s="1314"/>
      <x:c r="AO34" s="1314"/>
      <x:c r="AP34" s="1314"/>
      <x:c r="AQ34" s="1314"/>
      <x:c r="AR34" s="1314"/>
      <x:c r="AS34" s="1314"/>
      <x:c r="AT34" s="1314"/>
      <x:c r="AU34" s="1314"/>
      <x:c r="AV34" s="1314"/>
      <x:c r="AW34" s="1314"/>
      <x:c r="AX34" s="1314"/>
      <x:c r="AY34" s="2"/>
      <x:c r="AZ34" s="2"/>
    </x:row>
    <x:row r="35" ht="13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1314"/>
      <x:c r="M35" s="1314"/>
      <x:c r="N35" s="1314"/>
      <x:c r="O35" s="1314"/>
      <x:c r="P35" s="1314"/>
      <x:c r="Q35" s="1314"/>
      <x:c r="R35" s="1314"/>
      <x:c r="S35" s="1314"/>
      <x:c r="T35" s="1314"/>
      <x:c r="U35" s="1314"/>
      <x:c r="V35" s="1314"/>
      <x:c r="W35" s="1314"/>
      <x:c r="X35" s="1314"/>
      <x:c r="Y35" s="1314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1314"/>
      <x:c r="AL35" s="1314"/>
      <x:c r="AM35" s="1314"/>
      <x:c r="AN35" s="1314"/>
      <x:c r="AO35" s="1314"/>
      <x:c r="AP35" s="1314"/>
      <x:c r="AQ35" s="1314"/>
      <x:c r="AR35" s="1314"/>
      <x:c r="AS35" s="1314"/>
      <x:c r="AT35" s="1314"/>
      <x:c r="AU35" s="1314"/>
      <x:c r="AV35" s="1314"/>
      <x:c r="AW35" s="1314"/>
      <x:c r="AX35" s="1314"/>
      <x:c r="AY35" s="2"/>
      <x:c r="AZ35" s="2"/>
    </x:row>
    <x:row r="36" ht="13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1314"/>
      <x:c r="M36" s="1314"/>
      <x:c r="N36" s="1314"/>
      <x:c r="O36" s="1314"/>
      <x:c r="P36" s="1314"/>
      <x:c r="Q36" s="1314"/>
      <x:c r="R36" s="1314"/>
      <x:c r="S36" s="1314"/>
      <x:c r="T36" s="1314"/>
      <x:c r="U36" s="1314"/>
      <x:c r="V36" s="1314"/>
      <x:c r="W36" s="1314"/>
      <x:c r="X36" s="1314"/>
      <x:c r="Y36" s="1314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1314"/>
      <x:c r="AL36" s="1314"/>
      <x:c r="AM36" s="1314"/>
      <x:c r="AN36" s="1314"/>
      <x:c r="AO36" s="1314"/>
      <x:c r="AP36" s="1314"/>
      <x:c r="AQ36" s="1314"/>
      <x:c r="AR36" s="1314"/>
      <x:c r="AS36" s="1314"/>
      <x:c r="AT36" s="1314"/>
      <x:c r="AU36" s="1314"/>
      <x:c r="AV36" s="1314"/>
      <x:c r="AW36" s="1314"/>
      <x:c r="AX36" s="1314"/>
      <x:c r="AY36" s="2"/>
      <x:c r="AZ36" s="2"/>
    </x:row>
    <x:row r="37" ht="13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1314"/>
      <x:c r="M37" s="1314"/>
      <x:c r="N37" s="1314"/>
      <x:c r="O37" s="1314"/>
      <x:c r="P37" s="1314"/>
      <x:c r="Q37" s="1314"/>
      <x:c r="R37" s="1314"/>
      <x:c r="S37" s="1314"/>
      <x:c r="T37" s="1314"/>
      <x:c r="U37" s="1314"/>
      <x:c r="V37" s="1314"/>
      <x:c r="W37" s="1314"/>
      <x:c r="X37" s="1314"/>
      <x:c r="Y37" s="1314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1314"/>
      <x:c r="AL37" s="1314"/>
      <x:c r="AM37" s="1314"/>
      <x:c r="AN37" s="1314"/>
      <x:c r="AO37" s="1314"/>
      <x:c r="AP37" s="1314"/>
      <x:c r="AQ37" s="1314"/>
      <x:c r="AR37" s="1314"/>
      <x:c r="AS37" s="1314"/>
      <x:c r="AT37" s="1314"/>
      <x:c r="AU37" s="1314"/>
      <x:c r="AV37" s="1314"/>
      <x:c r="AW37" s="1314"/>
      <x:c r="AX37" s="1314"/>
      <x:c r="AY37" s="2"/>
      <x:c r="AZ37" s="2"/>
    </x:row>
    <x:row r="38" ht="13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 ht="13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 ht="13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 ht="13.5" customHeight="1">
      <x:c r="A41" s="2"/>
      <x:c r="B41" s="77" t="str">
        <x:v>99.2 表記ルール</x:v>
      </x:c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78"/>
      <x:c r="U41" s="78"/>
      <x:c r="V41" s="78"/>
      <x:c r="W41" s="78"/>
      <x:c r="X41" s="78"/>
      <x:c r="Y41" s="78"/>
      <x:c r="Z41" s="78"/>
      <x:c r="AA41" s="78"/>
      <x:c r="AB41" s="78"/>
      <x:c r="AC41" s="78"/>
      <x:c r="AD41" s="78"/>
      <x:c r="AE41" s="78"/>
      <x:c r="AF41" s="78"/>
      <x:c r="AG41" s="78"/>
      <x:c r="AH41" s="78"/>
      <x:c r="AI41" s="78"/>
      <x:c r="AJ41" s="78"/>
      <x:c r="AK41" s="78"/>
      <x:c r="AL41" s="78"/>
      <x:c r="AM41" s="78"/>
      <x:c r="AN41" s="78"/>
      <x:c r="AO41" s="78"/>
      <x:c r="AP41" s="78"/>
      <x:c r="AQ41" s="78"/>
      <x:c r="AR41" s="78"/>
      <x:c r="AS41" s="78"/>
      <x:c r="AT41" s="78"/>
      <x:c r="AU41" s="78"/>
      <x:c r="AV41" s="78"/>
      <x:c r="AW41" s="78"/>
      <x:c r="AX41" s="79"/>
      <x:c r="AY41" s="2"/>
      <x:c r="AZ41" s="2"/>
    </x:row>
    <x:row r="42" ht="13.5" customHeight="1">
      <x:c r="A42" s="2"/>
      <x:c r="B42" s="80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  <x:c r="AA42" s="81"/>
      <x:c r="AB42" s="81"/>
      <x:c r="AC42" s="81"/>
      <x:c r="AD42" s="81"/>
      <x:c r="AE42" s="81"/>
      <x:c r="AF42" s="81"/>
      <x:c r="AG42" s="81"/>
      <x:c r="AH42" s="81"/>
      <x:c r="AI42" s="81"/>
      <x:c r="AJ42" s="81"/>
      <x:c r="AK42" s="81"/>
      <x:c r="AL42" s="81"/>
      <x:c r="AM42" s="81"/>
      <x:c r="AN42" s="81"/>
      <x:c r="AO42" s="81"/>
      <x:c r="AP42" s="81"/>
      <x:c r="AQ42" s="81"/>
      <x:c r="AR42" s="81"/>
      <x:c r="AS42" s="81"/>
      <x:c r="AT42" s="81"/>
      <x:c r="AU42" s="81"/>
      <x:c r="AV42" s="81"/>
      <x:c r="AW42" s="81"/>
      <x:c r="AX42" s="82"/>
      <x:c r="AY42" s="2"/>
      <x:c r="AZ42" s="2"/>
    </x:row>
    <x:row r="43" ht="13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 ht="13.5" customHeight="1">
      <x:c r="A44" s="2"/>
      <x:c r="B44" s="127" t="str">
        <x:v>対象</x:v>
      </x:c>
      <x:c r="C44" s="127"/>
      <x:c r="D44" s="127"/>
      <x:c r="E44" s="127"/>
      <x:c r="F44" s="127"/>
      <x:c r="G44" s="127"/>
      <x:c r="H44" s="127"/>
      <x:c r="I44" s="127"/>
      <x:c r="J44" s="127" t="str">
        <x:v>ルール</x:v>
      </x:c>
      <x:c r="K44" s="127"/>
      <x:c r="L44" s="127"/>
      <x:c r="M44" s="127"/>
      <x:c r="N44" s="127"/>
      <x:c r="O44" s="127"/>
      <x:c r="P44" s="127"/>
      <x:c r="Q44" s="127"/>
      <x:c r="R44" s="127"/>
      <x:c r="S44" s="127"/>
      <x:c r="T44" s="127"/>
      <x:c r="U44" s="127"/>
      <x:c r="V44" s="127"/>
      <x:c r="W44" s="127"/>
      <x:c r="X44" s="127"/>
      <x:c r="Y44" s="127"/>
      <x:c r="Z44" s="127"/>
      <x:c r="AA44" s="127"/>
      <x:c r="AB44" s="127"/>
      <x:c r="AC44" s="127"/>
      <x:c r="AD44" s="127"/>
      <x:c r="AE44" s="127"/>
      <x:c r="AF44" s="127"/>
      <x:c r="AG44" s="127"/>
      <x:c r="AH44" s="127"/>
      <x:c r="AI44" s="127"/>
      <x:c r="AJ44" s="127" t="str">
        <x:v>例</x:v>
      </x:c>
      <x:c r="AK44" s="127"/>
      <x:c r="AL44" s="127"/>
      <x:c r="AM44" s="127"/>
      <x:c r="AN44" s="127"/>
      <x:c r="AO44" s="127"/>
      <x:c r="AP44" s="127"/>
      <x:c r="AQ44" s="127"/>
      <x:c r="AR44" s="127"/>
      <x:c r="AS44" s="127"/>
      <x:c r="AT44" s="127"/>
      <x:c r="AU44" s="127"/>
      <x:c r="AV44" s="127"/>
      <x:c r="AW44" s="127"/>
      <x:c r="AX44" s="127"/>
      <x:c r="AY44" s="2"/>
      <x:c r="AZ44" s="2"/>
    </x:row>
    <x:row r="45" ht="13.5" customHeight="1">
      <x:c r="A45" s="2"/>
      <x:c r="B45" s="210" t="str">
        <x:v>振る舞い図</x:v>
      </x:c>
      <x:c r="C45" s="210"/>
      <x:c r="D45" s="210"/>
      <x:c r="E45" s="210"/>
      <x:c r="F45" s="210"/>
      <x:c r="G45" s="210"/>
      <x:c r="H45" s="210"/>
      <x:c r="I45" s="210"/>
      <x:c r="J45" s="210" t="str">
        <x:v>状態名と状態コードを併記。矢印にイベント、必要なら[ガード]を記載</x:v>
      </x:c>
      <x:c r="K45" s="210"/>
      <x:c r="L45" s="210"/>
      <x:c r="M45" s="210"/>
      <x:c r="N45" s="210"/>
      <x:c r="O45" s="210"/>
      <x:c r="P45" s="210"/>
      <x:c r="Q45" s="210"/>
      <x:c r="R45" s="210"/>
      <x:c r="S45" s="210"/>
      <x:c r="T45" s="210"/>
      <x:c r="U45" s="210"/>
      <x:c r="V45" s="210"/>
      <x:c r="W45" s="210"/>
      <x:c r="X45" s="210"/>
      <x:c r="Y45" s="210"/>
      <x:c r="Z45" s="210"/>
      <x:c r="AA45" s="210"/>
      <x:c r="AB45" s="210"/>
      <x:c r="AC45" s="210"/>
      <x:c r="AD45" s="210"/>
      <x:c r="AE45" s="210"/>
      <x:c r="AF45" s="210"/>
      <x:c r="AG45" s="210"/>
      <x:c r="AH45" s="210"/>
      <x:c r="AI45" s="210"/>
      <x:c r="AJ45" s="210" t="str">
        <x:v>提出 [必須入力OK]</x:v>
      </x:c>
      <x:c r="AK45" s="210"/>
      <x:c r="AL45" s="210"/>
      <x:c r="AM45" s="210"/>
      <x:c r="AN45" s="210"/>
      <x:c r="AO45" s="210"/>
      <x:c r="AP45" s="210"/>
      <x:c r="AQ45" s="210"/>
      <x:c r="AR45" s="210"/>
      <x:c r="AS45" s="210"/>
      <x:c r="AT45" s="210"/>
      <x:c r="AU45" s="210"/>
      <x:c r="AV45" s="210"/>
      <x:c r="AW45" s="210"/>
      <x:c r="AX45" s="210"/>
      <x:c r="AY45" s="2"/>
      <x:c r="AZ45" s="2"/>
    </x:row>
    <x:row r="46" ht="13.5" customHeight="1">
      <x:c r="A46" s="2"/>
      <x:c r="B46" s="210" t="str">
        <x:v>シーケンス図</x:v>
      </x:c>
      <x:c r="C46" s="210"/>
      <x:c r="D46" s="210"/>
      <x:c r="E46" s="210"/>
      <x:c r="F46" s="210"/>
      <x:c r="G46" s="210"/>
      <x:c r="H46" s="210"/>
      <x:c r="I46" s="210"/>
      <x:c r="J46" s="210" t="str">
        <x:v>参加者は上部、ライフラインは破線、時系列は上→下、戻りは破線</x:v>
      </x:c>
      <x:c r="K46" s="210"/>
      <x:c r="L46" s="210"/>
      <x:c r="M46" s="210"/>
      <x:c r="N46" s="210"/>
      <x:c r="O46" s="210"/>
      <x:c r="P46" s="210"/>
      <x:c r="Q46" s="210"/>
      <x:c r="R46" s="210"/>
      <x:c r="S46" s="210"/>
      <x:c r="T46" s="210"/>
      <x:c r="U46" s="210"/>
      <x:c r="V46" s="210"/>
      <x:c r="W46" s="210"/>
      <x:c r="X46" s="210"/>
      <x:c r="Y46" s="210"/>
      <x:c r="Z46" s="210"/>
      <x:c r="AA46" s="210"/>
      <x:c r="AB46" s="210"/>
      <x:c r="AC46" s="210"/>
      <x:c r="AD46" s="210"/>
      <x:c r="AE46" s="210"/>
      <x:c r="AF46" s="210"/>
      <x:c r="AG46" s="210"/>
      <x:c r="AH46" s="210"/>
      <x:c r="AI46" s="210"/>
      <x:c r="AJ46" s="210" t="str">
        <x:v>201 Created / claim_id</x:v>
      </x:c>
      <x:c r="AK46" s="210"/>
      <x:c r="AL46" s="210"/>
      <x:c r="AM46" s="210"/>
      <x:c r="AN46" s="210"/>
      <x:c r="AO46" s="210"/>
      <x:c r="AP46" s="210"/>
      <x:c r="AQ46" s="210"/>
      <x:c r="AR46" s="210"/>
      <x:c r="AS46" s="210"/>
      <x:c r="AT46" s="210"/>
      <x:c r="AU46" s="210"/>
      <x:c r="AV46" s="210"/>
      <x:c r="AW46" s="210"/>
      <x:c r="AX46" s="210"/>
      <x:c r="AY46" s="2"/>
      <x:c r="AZ46" s="2"/>
    </x:row>
    <x:row r="47" ht="13.5" customHeight="1">
      <x:c r="A47" s="2"/>
      <x:c r="B47" s="210" t="str">
        <x:v>複合フラグメント</x:v>
      </x:c>
      <x:c r="C47" s="210"/>
      <x:c r="D47" s="210"/>
      <x:c r="E47" s="210"/>
      <x:c r="F47" s="210"/>
      <x:c r="G47" s="210"/>
      <x:c r="H47" s="210"/>
      <x:c r="I47" s="210"/>
      <x:c r="J47" s="210" t="str">
        <x:v>alt=代替、break=条件成立時に残りを中断。ガードは[条件]で記載</x:v>
      </x:c>
      <x:c r="K47" s="210"/>
      <x:c r="L47" s="210"/>
      <x:c r="M47" s="210"/>
      <x:c r="N47" s="210"/>
      <x:c r="O47" s="210"/>
      <x:c r="P47" s="210"/>
      <x:c r="Q47" s="210"/>
      <x:c r="R47" s="210"/>
      <x:c r="S47" s="210"/>
      <x:c r="T47" s="210"/>
      <x:c r="U47" s="210"/>
      <x:c r="V47" s="210"/>
      <x:c r="W47" s="210"/>
      <x:c r="X47" s="210"/>
      <x:c r="Y47" s="210"/>
      <x:c r="Z47" s="210"/>
      <x:c r="AA47" s="210"/>
      <x:c r="AB47" s="210"/>
      <x:c r="AC47" s="210"/>
      <x:c r="AD47" s="210"/>
      <x:c r="AE47" s="210"/>
      <x:c r="AF47" s="210"/>
      <x:c r="AG47" s="210"/>
      <x:c r="AH47" s="210"/>
      <x:c r="AI47" s="210"/>
      <x:c r="AJ47" s="210" t="str">
        <x:v>alt [amount &gt; 100,000]</x:v>
      </x:c>
      <x:c r="AK47" s="210"/>
      <x:c r="AL47" s="210"/>
      <x:c r="AM47" s="210"/>
      <x:c r="AN47" s="210"/>
      <x:c r="AO47" s="210"/>
      <x:c r="AP47" s="210"/>
      <x:c r="AQ47" s="210"/>
      <x:c r="AR47" s="210"/>
      <x:c r="AS47" s="210"/>
      <x:c r="AT47" s="210"/>
      <x:c r="AU47" s="210"/>
      <x:c r="AV47" s="210"/>
      <x:c r="AW47" s="210"/>
      <x:c r="AX47" s="210"/>
      <x:c r="AY47" s="2"/>
      <x:c r="AZ47" s="2"/>
    </x:row>
    <x:row r="48" ht="13.5" customHeight="1">
      <x:c r="A48" s="2"/>
      <x:c r="B48" s="210" t="str">
        <x:v>フローチャート</x:v>
      </x:c>
      <x:c r="C48" s="210"/>
      <x:c r="D48" s="210"/>
      <x:c r="E48" s="210"/>
      <x:c r="F48" s="210"/>
      <x:c r="G48" s="210"/>
      <x:c r="H48" s="210"/>
      <x:c r="I48" s="210"/>
      <x:c r="J48" s="210" t="str">
        <x:v>開始終了・処理・判断・入出力・DBを形状で区別</x:v>
      </x:c>
      <x:c r="K48" s="210"/>
      <x:c r="L48" s="210"/>
      <x:c r="M48" s="210"/>
      <x:c r="N48" s="210"/>
      <x:c r="O48" s="210"/>
      <x:c r="P48" s="210"/>
      <x:c r="Q48" s="210"/>
      <x:c r="R48" s="210"/>
      <x:c r="S48" s="210"/>
      <x:c r="T48" s="210"/>
      <x:c r="U48" s="210"/>
      <x:c r="V48" s="210"/>
      <x:c r="W48" s="210"/>
      <x:c r="X48" s="210"/>
      <x:c r="Y48" s="210"/>
      <x:c r="Z48" s="210"/>
      <x:c r="AA48" s="210"/>
      <x:c r="AB48" s="210"/>
      <x:c r="AC48" s="210"/>
      <x:c r="AD48" s="210"/>
      <x:c r="AE48" s="210"/>
      <x:c r="AF48" s="210"/>
      <x:c r="AG48" s="210"/>
      <x:c r="AH48" s="210"/>
      <x:c r="AI48" s="210"/>
      <x:c r="AJ48" s="210" t="str">
        <x:v>判断の分岐にOK/NG</x:v>
      </x:c>
      <x:c r="AK48" s="210"/>
      <x:c r="AL48" s="210"/>
      <x:c r="AM48" s="210"/>
      <x:c r="AN48" s="210"/>
      <x:c r="AO48" s="210"/>
      <x:c r="AP48" s="210"/>
      <x:c r="AQ48" s="210"/>
      <x:c r="AR48" s="210"/>
      <x:c r="AS48" s="210"/>
      <x:c r="AT48" s="210"/>
      <x:c r="AU48" s="210"/>
      <x:c r="AV48" s="210"/>
      <x:c r="AW48" s="210"/>
      <x:c r="AX48" s="210"/>
      <x:c r="AY48" s="2"/>
      <x:c r="AZ48" s="2"/>
    </x:row>
    <x:row r="49" ht="13.5" customHeight="1">
      <x:c r="A49" s="2"/>
      <x:c r="B49" s="210" t="str">
        <x:v>スイムレーン</x:v>
      </x:c>
      <x:c r="C49" s="210"/>
      <x:c r="D49" s="210"/>
      <x:c r="E49" s="210"/>
      <x:c r="F49" s="210"/>
      <x:c r="G49" s="210"/>
      <x:c r="H49" s="210"/>
      <x:c r="I49" s="210"/>
      <x:c r="J49" s="210" t="str">
        <x:v>処理を責任主体のレーン内へ配置</x:v>
      </x:c>
      <x:c r="K49" s="210"/>
      <x:c r="L49" s="210"/>
      <x:c r="M49" s="210"/>
      <x:c r="N49" s="210"/>
      <x:c r="O49" s="210"/>
      <x:c r="P49" s="210"/>
      <x:c r="Q49" s="210"/>
      <x:c r="R49" s="210"/>
      <x:c r="S49" s="210"/>
      <x:c r="T49" s="210"/>
      <x:c r="U49" s="210"/>
      <x:c r="V49" s="210"/>
      <x:c r="W49" s="210"/>
      <x:c r="X49" s="210"/>
      <x:c r="Y49" s="210"/>
      <x:c r="Z49" s="210"/>
      <x:c r="AA49" s="210"/>
      <x:c r="AB49" s="210"/>
      <x:c r="AC49" s="210"/>
      <x:c r="AD49" s="210"/>
      <x:c r="AE49" s="210"/>
      <x:c r="AF49" s="210"/>
      <x:c r="AG49" s="210"/>
      <x:c r="AH49" s="210"/>
      <x:c r="AI49" s="210"/>
      <x:c r="AJ49" s="210" t="str">
        <x:v>申請者／経費／承認者／会計</x:v>
      </x:c>
      <x:c r="AK49" s="210"/>
      <x:c r="AL49" s="210"/>
      <x:c r="AM49" s="210"/>
      <x:c r="AN49" s="210"/>
      <x:c r="AO49" s="210"/>
      <x:c r="AP49" s="210"/>
      <x:c r="AQ49" s="210"/>
      <x:c r="AR49" s="210"/>
      <x:c r="AS49" s="210"/>
      <x:c r="AT49" s="210"/>
      <x:c r="AU49" s="210"/>
      <x:c r="AV49" s="210"/>
      <x:c r="AW49" s="210"/>
      <x:c r="AX49" s="210"/>
      <x:c r="AY49" s="2"/>
      <x:c r="AZ49" s="2"/>
    </x:row>
    <x:row r="50" ht="13.5" customHeight="1">
      <x:c r="A50" s="2"/>
      <x:c r="B50" s="210" t="str">
        <x:v>色</x:v>
      </x:c>
      <x:c r="C50" s="210"/>
      <x:c r="D50" s="210"/>
      <x:c r="E50" s="210"/>
      <x:c r="F50" s="210"/>
      <x:c r="G50" s="210"/>
      <x:c r="H50" s="210"/>
      <x:c r="I50" s="210"/>
      <x:c r="J50" s="210" t="str">
        <x:v>青=アプリ、緑=正常・データ、橙=承認、赤=例外、紫=外部・非同期</x:v>
      </x:c>
      <x:c r="K50" s="210"/>
      <x:c r="L50" s="210"/>
      <x:c r="M50" s="210"/>
      <x:c r="N50" s="210"/>
      <x:c r="O50" s="210"/>
      <x:c r="P50" s="210"/>
      <x:c r="Q50" s="210"/>
      <x:c r="R50" s="210"/>
      <x:c r="S50" s="210"/>
      <x:c r="T50" s="210"/>
      <x:c r="U50" s="210"/>
      <x:c r="V50" s="210"/>
      <x:c r="W50" s="210"/>
      <x:c r="X50" s="210"/>
      <x:c r="Y50" s="210"/>
      <x:c r="Z50" s="210"/>
      <x:c r="AA50" s="210"/>
      <x:c r="AB50" s="210"/>
      <x:c r="AC50" s="210"/>
      <x:c r="AD50" s="210"/>
      <x:c r="AE50" s="210"/>
      <x:c r="AF50" s="210"/>
      <x:c r="AG50" s="210"/>
      <x:c r="AH50" s="210"/>
      <x:c r="AI50" s="210"/>
      <x:c r="AJ50" s="210" t="str">
        <x:v>全シート共通</x:v>
      </x:c>
      <x:c r="AK50" s="210"/>
      <x:c r="AL50" s="210"/>
      <x:c r="AM50" s="210"/>
      <x:c r="AN50" s="210"/>
      <x:c r="AO50" s="210"/>
      <x:c r="AP50" s="210"/>
      <x:c r="AQ50" s="210"/>
      <x:c r="AR50" s="210"/>
      <x:c r="AS50" s="210"/>
      <x:c r="AT50" s="210"/>
      <x:c r="AU50" s="210"/>
      <x:c r="AV50" s="210"/>
      <x:c r="AW50" s="210"/>
      <x:c r="AX50" s="210"/>
      <x:c r="AY50" s="2"/>
      <x:c r="AZ50" s="2"/>
    </x:row>
    <x:row r="51" ht="13.5" customHeight="1">
      <x:c r="A51" s="2"/>
      <x:c r="B51" s="210" t="str">
        <x:v>識別子</x:v>
      </x:c>
      <x:c r="C51" s="210"/>
      <x:c r="D51" s="210"/>
      <x:c r="E51" s="210"/>
      <x:c r="F51" s="210"/>
      <x:c r="G51" s="210"/>
      <x:c r="H51" s="210"/>
      <x:c r="I51" s="210"/>
      <x:c r="J51" s="210" t="str">
        <x:v>状態TR、API、項目F、データDR、テストTCで相互参照</x:v>
      </x:c>
      <x:c r="K51" s="210"/>
      <x:c r="L51" s="210"/>
      <x:c r="M51" s="210"/>
      <x:c r="N51" s="210"/>
      <x:c r="O51" s="210"/>
      <x:c r="P51" s="210"/>
      <x:c r="Q51" s="210"/>
      <x:c r="R51" s="210"/>
      <x:c r="S51" s="210"/>
      <x:c r="T51" s="210"/>
      <x:c r="U51" s="210"/>
      <x:c r="V51" s="210"/>
      <x:c r="W51" s="210"/>
      <x:c r="X51" s="210"/>
      <x:c r="Y51" s="210"/>
      <x:c r="Z51" s="210"/>
      <x:c r="AA51" s="210"/>
      <x:c r="AB51" s="210"/>
      <x:c r="AC51" s="210"/>
      <x:c r="AD51" s="210"/>
      <x:c r="AE51" s="210"/>
      <x:c r="AF51" s="210"/>
      <x:c r="AG51" s="210"/>
      <x:c r="AH51" s="210"/>
      <x:c r="AI51" s="210"/>
      <x:c r="AJ51" s="210" t="str">
        <x:v>TC-005→TR-05</x:v>
      </x:c>
      <x:c r="AK51" s="210"/>
      <x:c r="AL51" s="210"/>
      <x:c r="AM51" s="210"/>
      <x:c r="AN51" s="210"/>
      <x:c r="AO51" s="210"/>
      <x:c r="AP51" s="210"/>
      <x:c r="AQ51" s="210"/>
      <x:c r="AR51" s="210"/>
      <x:c r="AS51" s="210"/>
      <x:c r="AT51" s="210"/>
      <x:c r="AU51" s="210"/>
      <x:c r="AV51" s="210"/>
      <x:c r="AW51" s="210"/>
      <x:c r="AX51" s="210"/>
      <x:c r="AY51" s="2"/>
      <x:c r="AZ51" s="2"/>
    </x:row>
    <x:row r="52" ht="13.5" customHeight="1">
      <x:c r="A52" s="2"/>
      <x:c r="B52" s="210" t="str">
        <x:v>コネクタ</x:v>
      </x:c>
      <x:c r="C52" s="210"/>
      <x:c r="D52" s="210"/>
      <x:c r="E52" s="210"/>
      <x:c r="F52" s="210"/>
      <x:c r="G52" s="210"/>
      <x:c r="H52" s="210"/>
      <x:c r="I52" s="210"/>
      <x:c r="J52" s="210" t="str">
        <x:v>長い折返し線を避ける場合は同一文字の円で経路を継続</x:v>
      </x:c>
      <x:c r="K52" s="210"/>
      <x:c r="L52" s="210"/>
      <x:c r="M52" s="210"/>
      <x:c r="N52" s="210"/>
      <x:c r="O52" s="210"/>
      <x:c r="P52" s="210"/>
      <x:c r="Q52" s="210"/>
      <x:c r="R52" s="210"/>
      <x:c r="S52" s="210"/>
      <x:c r="T52" s="210"/>
      <x:c r="U52" s="210"/>
      <x:c r="V52" s="210"/>
      <x:c r="W52" s="210"/>
      <x:c r="X52" s="210"/>
      <x:c r="Y52" s="210"/>
      <x:c r="Z52" s="210"/>
      <x:c r="AA52" s="210"/>
      <x:c r="AB52" s="210"/>
      <x:c r="AC52" s="210"/>
      <x:c r="AD52" s="210"/>
      <x:c r="AE52" s="210"/>
      <x:c r="AF52" s="210"/>
      <x:c r="AG52" s="210"/>
      <x:c r="AH52" s="210"/>
      <x:c r="AI52" s="210"/>
      <x:c r="AJ52" s="210" t="str">
        <x:v>R→R（再送経路）</x:v>
      </x:c>
      <x:c r="AK52" s="210"/>
      <x:c r="AL52" s="210"/>
      <x:c r="AM52" s="210"/>
      <x:c r="AN52" s="210"/>
      <x:c r="AO52" s="210"/>
      <x:c r="AP52" s="210"/>
      <x:c r="AQ52" s="210"/>
      <x:c r="AR52" s="210"/>
      <x:c r="AS52" s="210"/>
      <x:c r="AT52" s="210"/>
      <x:c r="AU52" s="210"/>
      <x:c r="AV52" s="210"/>
      <x:c r="AW52" s="210"/>
      <x:c r="AX52" s="210"/>
      <x:c r="AY52" s="2"/>
      <x:c r="AZ52" s="2"/>
    </x:row>
    <x:row r="53" ht="13.5" customHeight="1">
      <x:c r="A53" s="2"/>
      <x:c r="B53" s="210" t="str">
        <x:v>Excel方眼紙</x:v>
      </x:c>
      <x:c r="C53" s="210"/>
      <x:c r="D53" s="210"/>
      <x:c r="E53" s="210"/>
      <x:c r="F53" s="210"/>
      <x:c r="G53" s="210"/>
      <x:c r="H53" s="210"/>
      <x:c r="I53" s="210"/>
      <x:c r="J53" s="210" t="str">
        <x:v>細幅セルをレイアウト単位とし、結合セル・罫線・図形で紙面を構成</x:v>
      </x:c>
      <x:c r="K53" s="210"/>
      <x:c r="L53" s="210"/>
      <x:c r="M53" s="210"/>
      <x:c r="N53" s="210"/>
      <x:c r="O53" s="210"/>
      <x:c r="P53" s="210"/>
      <x:c r="Q53" s="210"/>
      <x:c r="R53" s="210"/>
      <x:c r="S53" s="210"/>
      <x:c r="T53" s="210"/>
      <x:c r="U53" s="210"/>
      <x:c r="V53" s="210"/>
      <x:c r="W53" s="210"/>
      <x:c r="X53" s="210"/>
      <x:c r="Y53" s="210"/>
      <x:c r="Z53" s="210"/>
      <x:c r="AA53" s="210"/>
      <x:c r="AB53" s="210"/>
      <x:c r="AC53" s="210"/>
      <x:c r="AD53" s="210"/>
      <x:c r="AE53" s="210"/>
      <x:c r="AF53" s="210"/>
      <x:c r="AG53" s="210"/>
      <x:c r="AH53" s="210"/>
      <x:c r="AI53" s="210"/>
      <x:c r="AJ53" s="210" t="str">
        <x:v>本ブック全体</x:v>
      </x:c>
      <x:c r="AK53" s="210"/>
      <x:c r="AL53" s="210"/>
      <x:c r="AM53" s="210"/>
      <x:c r="AN53" s="210"/>
      <x:c r="AO53" s="210"/>
      <x:c r="AP53" s="210"/>
      <x:c r="AQ53" s="210"/>
      <x:c r="AR53" s="210"/>
      <x:c r="AS53" s="210"/>
      <x:c r="AT53" s="210"/>
      <x:c r="AU53" s="210"/>
      <x:c r="AV53" s="210"/>
      <x:c r="AW53" s="210"/>
      <x:c r="AX53" s="210"/>
      <x:c r="AY53" s="2"/>
      <x:c r="AZ53" s="2"/>
    </x:row>
    <x:row r="54" ht="13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 ht="13.5" customHeight="1">
      <x:c r="A55" s="2"/>
      <x:c r="B55" s="77" t="str">
        <x:v>99.3 調査・参考資料（2026-08-23確認）</x:v>
      </x:c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78"/>
      <x:c r="U55" s="78"/>
      <x:c r="V55" s="78"/>
      <x:c r="W55" s="78"/>
      <x:c r="X55" s="78"/>
      <x:c r="Y55" s="78"/>
      <x:c r="Z55" s="78"/>
      <x:c r="AA55" s="78"/>
      <x:c r="AB55" s="78"/>
      <x:c r="AC55" s="78"/>
      <x:c r="AD55" s="78"/>
      <x:c r="AE55" s="78"/>
      <x:c r="AF55" s="78"/>
      <x:c r="AG55" s="78"/>
      <x:c r="AH55" s="78"/>
      <x:c r="AI55" s="78"/>
      <x:c r="AJ55" s="78"/>
      <x:c r="AK55" s="78"/>
      <x:c r="AL55" s="78"/>
      <x:c r="AM55" s="78"/>
      <x:c r="AN55" s="78"/>
      <x:c r="AO55" s="78"/>
      <x:c r="AP55" s="78"/>
      <x:c r="AQ55" s="78"/>
      <x:c r="AR55" s="78"/>
      <x:c r="AS55" s="78"/>
      <x:c r="AT55" s="78"/>
      <x:c r="AU55" s="78"/>
      <x:c r="AV55" s="78"/>
      <x:c r="AW55" s="78"/>
      <x:c r="AX55" s="79"/>
      <x:c r="AY55" s="2"/>
      <x:c r="AZ55" s="2"/>
    </x:row>
    <x:row r="56" ht="13.5" customHeight="1">
      <x:c r="A56" s="2"/>
      <x:c r="B56" s="80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  <x:c r="AA56" s="81"/>
      <x:c r="AB56" s="81"/>
      <x:c r="AC56" s="81"/>
      <x:c r="AD56" s="81"/>
      <x:c r="AE56" s="81"/>
      <x:c r="AF56" s="81"/>
      <x:c r="AG56" s="81"/>
      <x:c r="AH56" s="81"/>
      <x:c r="AI56" s="81"/>
      <x:c r="AJ56" s="81"/>
      <x:c r="AK56" s="81"/>
      <x:c r="AL56" s="81"/>
      <x:c r="AM56" s="81"/>
      <x:c r="AN56" s="81"/>
      <x:c r="AO56" s="81"/>
      <x:c r="AP56" s="81"/>
      <x:c r="AQ56" s="81"/>
      <x:c r="AR56" s="81"/>
      <x:c r="AS56" s="81"/>
      <x:c r="AT56" s="81"/>
      <x:c r="AU56" s="81"/>
      <x:c r="AV56" s="81"/>
      <x:c r="AW56" s="81"/>
      <x:c r="AX56" s="82"/>
      <x:c r="AY56" s="2"/>
      <x:c r="AZ56" s="2"/>
    </x:row>
    <x:row r="57" ht="13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 ht="13.5" customHeight="1">
      <x:c r="A58" s="2"/>
      <x:c r="B58" s="127" t="str">
        <x:v>テーマ</x:v>
      </x:c>
      <x:c r="C58" s="127"/>
      <x:c r="D58" s="127"/>
      <x:c r="E58" s="127"/>
      <x:c r="F58" s="127"/>
      <x:c r="G58" s="127"/>
      <x:c r="H58" s="127"/>
      <x:c r="I58" s="127"/>
      <x:c r="J58" s="127" t="str">
        <x:v>参照先</x:v>
      </x:c>
      <x:c r="K58" s="127"/>
      <x:c r="L58" s="127"/>
      <x:c r="M58" s="127"/>
      <x:c r="N58" s="127"/>
      <x:c r="O58" s="127"/>
      <x:c r="P58" s="127"/>
      <x:c r="Q58" s="127"/>
      <x:c r="R58" s="127"/>
      <x:c r="S58" s="127"/>
      <x:c r="T58" s="127"/>
      <x:c r="U58" s="127"/>
      <x:c r="V58" s="127"/>
      <x:c r="W58" s="127"/>
      <x:c r="X58" s="127"/>
      <x:c r="Y58" s="127"/>
      <x:c r="Z58" s="127"/>
      <x:c r="AA58" s="127"/>
      <x:c r="AB58" s="127"/>
      <x:c r="AC58" s="127"/>
      <x:c r="AD58" s="127"/>
      <x:c r="AE58" s="127"/>
      <x:c r="AF58" s="127"/>
      <x:c r="AG58" s="127"/>
      <x:c r="AH58" s="127"/>
      <x:c r="AI58" s="127"/>
      <x:c r="AJ58" s="127" t="str">
        <x:v>設計への反映</x:v>
      </x:c>
      <x:c r="AK58" s="127"/>
      <x:c r="AL58" s="127"/>
      <x:c r="AM58" s="127"/>
      <x:c r="AN58" s="127"/>
      <x:c r="AO58" s="127"/>
      <x:c r="AP58" s="127"/>
      <x:c r="AQ58" s="127"/>
      <x:c r="AR58" s="127"/>
      <x:c r="AS58" s="127"/>
      <x:c r="AT58" s="127"/>
      <x:c r="AU58" s="127"/>
      <x:c r="AV58" s="127"/>
      <x:c r="AW58" s="127"/>
      <x:c r="AX58" s="127"/>
      <x:c r="AY58" s="2"/>
      <x:c r="AZ58" s="2"/>
    </x:row>
    <x:row r="59" ht="13.5" customHeight="1">
      <x:c r="A59" s="2"/>
      <x:c r="B59" s="127"/>
      <x:c r="C59" s="127"/>
      <x:c r="D59" s="127"/>
      <x:c r="E59" s="127"/>
      <x:c r="F59" s="127"/>
      <x:c r="G59" s="127"/>
      <x:c r="H59" s="127"/>
      <x:c r="I59" s="127"/>
      <x:c r="J59" s="127"/>
      <x:c r="K59" s="127"/>
      <x:c r="L59" s="127"/>
      <x:c r="M59" s="127"/>
      <x:c r="N59" s="127"/>
      <x:c r="O59" s="127"/>
      <x:c r="P59" s="127"/>
      <x:c r="Q59" s="127"/>
      <x:c r="R59" s="127"/>
      <x:c r="S59" s="127"/>
      <x:c r="T59" s="127"/>
      <x:c r="U59" s="127"/>
      <x:c r="V59" s="127"/>
      <x:c r="W59" s="127"/>
      <x:c r="X59" s="127"/>
      <x:c r="Y59" s="127"/>
      <x:c r="Z59" s="127"/>
      <x:c r="AA59" s="127"/>
      <x:c r="AB59" s="127"/>
      <x:c r="AC59" s="127"/>
      <x:c r="AD59" s="127"/>
      <x:c r="AE59" s="127"/>
      <x:c r="AF59" s="127"/>
      <x:c r="AG59" s="127"/>
      <x:c r="AH59" s="127"/>
      <x:c r="AI59" s="127"/>
      <x:c r="AJ59" s="127"/>
      <x:c r="AK59" s="127"/>
      <x:c r="AL59" s="127"/>
      <x:c r="AM59" s="127"/>
      <x:c r="AN59" s="127"/>
      <x:c r="AO59" s="127"/>
      <x:c r="AP59" s="127"/>
      <x:c r="AQ59" s="127"/>
      <x:c r="AR59" s="127"/>
      <x:c r="AS59" s="127"/>
      <x:c r="AT59" s="127"/>
      <x:c r="AU59" s="127"/>
      <x:c r="AV59" s="127"/>
      <x:c r="AW59" s="127"/>
      <x:c r="AX59" s="127"/>
      <x:c r="AY59" s="2"/>
      <x:c r="AZ59" s="2"/>
    </x:row>
    <x:row r="60" ht="13.5" customHeight="1">
      <x:c r="A60" s="2"/>
      <x:c r="B60" s="210" t="str">
        <x:v>政府システム標準</x:v>
      </x:c>
      <x:c r="C60" s="210"/>
      <x:c r="D60" s="210"/>
      <x:c r="E60" s="210"/>
      <x:c r="F60" s="210"/>
      <x:c r="G60" s="210"/>
      <x:c r="H60" s="210"/>
      <x:c r="I60" s="210"/>
      <x:c r="J60" s="210" t="str">
        <x:v>https://www.digital.go.jp/resources/standard_guidelines</x:v>
      </x:c>
      <x:c r="K60" s="210"/>
      <x:c r="L60" s="210"/>
      <x:c r="M60" s="210"/>
      <x:c r="N60" s="210"/>
      <x:c r="O60" s="210"/>
      <x:c r="P60" s="210"/>
      <x:c r="Q60" s="210"/>
      <x:c r="R60" s="210"/>
      <x:c r="S60" s="210"/>
      <x:c r="T60" s="210"/>
      <x:c r="U60" s="210"/>
      <x:c r="V60" s="210"/>
      <x:c r="W60" s="210"/>
      <x:c r="X60" s="210"/>
      <x:c r="Y60" s="210"/>
      <x:c r="Z60" s="210"/>
      <x:c r="AA60" s="210"/>
      <x:c r="AB60" s="210"/>
      <x:c r="AC60" s="210"/>
      <x:c r="AD60" s="210"/>
      <x:c r="AE60" s="210"/>
      <x:c r="AF60" s="210"/>
      <x:c r="AG60" s="210"/>
      <x:c r="AH60" s="210"/>
      <x:c r="AI60" s="210"/>
      <x:c r="AJ60" s="210" t="str">
        <x:v>共通ルール、実践ガイド、要件定義テンプレートを踏まえ文書管理・合意情報を追加</x:v>
      </x:c>
      <x:c r="AK60" s="210"/>
      <x:c r="AL60" s="210"/>
      <x:c r="AM60" s="210"/>
      <x:c r="AN60" s="210"/>
      <x:c r="AO60" s="210"/>
      <x:c r="AP60" s="210"/>
      <x:c r="AQ60" s="210"/>
      <x:c r="AR60" s="210"/>
      <x:c r="AS60" s="210"/>
      <x:c r="AT60" s="210"/>
      <x:c r="AU60" s="210"/>
      <x:c r="AV60" s="210"/>
      <x:c r="AW60" s="210"/>
      <x:c r="AX60" s="210"/>
      <x:c r="AY60" s="2"/>
      <x:c r="AZ60" s="2"/>
    </x:row>
    <x:row r="61" ht="13.5" customHeight="1">
      <x:c r="A61" s="2"/>
      <x:c r="B61" s="210"/>
      <x:c r="C61" s="210"/>
      <x:c r="D61" s="210"/>
      <x:c r="E61" s="210"/>
      <x:c r="F61" s="210"/>
      <x:c r="G61" s="210"/>
      <x:c r="H61" s="210"/>
      <x:c r="I61" s="210"/>
      <x:c r="J61" s="210"/>
      <x:c r="K61" s="210"/>
      <x:c r="L61" s="210"/>
      <x:c r="M61" s="210"/>
      <x:c r="N61" s="210"/>
      <x:c r="O61" s="210"/>
      <x:c r="P61" s="210"/>
      <x:c r="Q61" s="210"/>
      <x:c r="R61" s="210"/>
      <x:c r="S61" s="210"/>
      <x:c r="T61" s="210"/>
      <x:c r="U61" s="210"/>
      <x:c r="V61" s="210"/>
      <x:c r="W61" s="210"/>
      <x:c r="X61" s="210"/>
      <x:c r="Y61" s="210"/>
      <x:c r="Z61" s="210"/>
      <x:c r="AA61" s="210"/>
      <x:c r="AB61" s="210"/>
      <x:c r="AC61" s="210"/>
      <x:c r="AD61" s="210"/>
      <x:c r="AE61" s="210"/>
      <x:c r="AF61" s="210"/>
      <x:c r="AG61" s="210"/>
      <x:c r="AH61" s="210"/>
      <x:c r="AI61" s="210"/>
      <x:c r="AJ61" s="210"/>
      <x:c r="AK61" s="210"/>
      <x:c r="AL61" s="210"/>
      <x:c r="AM61" s="210"/>
      <x:c r="AN61" s="210"/>
      <x:c r="AO61" s="210"/>
      <x:c r="AP61" s="210"/>
      <x:c r="AQ61" s="210"/>
      <x:c r="AR61" s="210"/>
      <x:c r="AS61" s="210"/>
      <x:c r="AT61" s="210"/>
      <x:c r="AU61" s="210"/>
      <x:c r="AV61" s="210"/>
      <x:c r="AW61" s="210"/>
      <x:c r="AX61" s="210"/>
      <x:c r="AY61" s="2"/>
      <x:c r="AZ61" s="2"/>
    </x:row>
    <x:row r="62" ht="13.5" customHeight="1">
      <x:c r="A62" s="2"/>
      <x:c r="B62" s="210" t="str">
        <x:v>非機能要求</x:v>
      </x:c>
      <x:c r="C62" s="210"/>
      <x:c r="D62" s="210"/>
      <x:c r="E62" s="210"/>
      <x:c r="F62" s="210"/>
      <x:c r="G62" s="210"/>
      <x:c r="H62" s="210"/>
      <x:c r="I62" s="210"/>
      <x:c r="J62" s="210" t="str">
        <x:v>https://www.ipa.go.jp/archive/digital/iot-en-ci/jyouryuu/hikinou/ent03-b.html</x:v>
      </x:c>
      <x:c r="K62" s="210"/>
      <x:c r="L62" s="210"/>
      <x:c r="M62" s="210"/>
      <x:c r="N62" s="210"/>
      <x:c r="O62" s="210"/>
      <x:c r="P62" s="210"/>
      <x:c r="Q62" s="210"/>
      <x:c r="R62" s="210"/>
      <x:c r="S62" s="210"/>
      <x:c r="T62" s="210"/>
      <x:c r="U62" s="210"/>
      <x:c r="V62" s="210"/>
      <x:c r="W62" s="210"/>
      <x:c r="X62" s="210"/>
      <x:c r="Y62" s="210"/>
      <x:c r="Z62" s="210"/>
      <x:c r="AA62" s="210"/>
      <x:c r="AB62" s="210"/>
      <x:c r="AC62" s="210"/>
      <x:c r="AD62" s="210"/>
      <x:c r="AE62" s="210"/>
      <x:c r="AF62" s="210"/>
      <x:c r="AG62" s="210"/>
      <x:c r="AH62" s="210"/>
      <x:c r="AI62" s="210"/>
      <x:c r="AJ62" s="210" t="str">
        <x:v>可用性・性能・運用・セキュリティ等を目標値と合意状態で管理</x:v>
      </x:c>
      <x:c r="AK62" s="210"/>
      <x:c r="AL62" s="210"/>
      <x:c r="AM62" s="210"/>
      <x:c r="AN62" s="210"/>
      <x:c r="AO62" s="210"/>
      <x:c r="AP62" s="210"/>
      <x:c r="AQ62" s="210"/>
      <x:c r="AR62" s="210"/>
      <x:c r="AS62" s="210"/>
      <x:c r="AT62" s="210"/>
      <x:c r="AU62" s="210"/>
      <x:c r="AV62" s="210"/>
      <x:c r="AW62" s="210"/>
      <x:c r="AX62" s="210"/>
      <x:c r="AY62" s="2"/>
      <x:c r="AZ62" s="2"/>
    </x:row>
    <x:row r="63" ht="13.5" customHeight="1">
      <x:c r="A63" s="2"/>
      <x:c r="B63" s="210"/>
      <x:c r="C63" s="210"/>
      <x:c r="D63" s="210"/>
      <x:c r="E63" s="210"/>
      <x:c r="F63" s="210"/>
      <x:c r="G63" s="210"/>
      <x:c r="H63" s="210"/>
      <x:c r="I63" s="210"/>
      <x:c r="J63" s="210"/>
      <x:c r="K63" s="210"/>
      <x:c r="L63" s="210"/>
      <x:c r="M63" s="210"/>
      <x:c r="N63" s="210"/>
      <x:c r="O63" s="210"/>
      <x:c r="P63" s="210"/>
      <x:c r="Q63" s="210"/>
      <x:c r="R63" s="210"/>
      <x:c r="S63" s="210"/>
      <x:c r="T63" s="210"/>
      <x:c r="U63" s="210"/>
      <x:c r="V63" s="210"/>
      <x:c r="W63" s="210"/>
      <x:c r="X63" s="210"/>
      <x:c r="Y63" s="210"/>
      <x:c r="Z63" s="210"/>
      <x:c r="AA63" s="210"/>
      <x:c r="AB63" s="210"/>
      <x:c r="AC63" s="210"/>
      <x:c r="AD63" s="210"/>
      <x:c r="AE63" s="210"/>
      <x:c r="AF63" s="210"/>
      <x:c r="AG63" s="210"/>
      <x:c r="AH63" s="210"/>
      <x:c r="AI63" s="210"/>
      <x:c r="AJ63" s="210"/>
      <x:c r="AK63" s="210"/>
      <x:c r="AL63" s="210"/>
      <x:c r="AM63" s="210"/>
      <x:c r="AN63" s="210"/>
      <x:c r="AO63" s="210"/>
      <x:c r="AP63" s="210"/>
      <x:c r="AQ63" s="210"/>
      <x:c r="AR63" s="210"/>
      <x:c r="AS63" s="210"/>
      <x:c r="AT63" s="210"/>
      <x:c r="AU63" s="210"/>
      <x:c r="AV63" s="210"/>
      <x:c r="AW63" s="210"/>
      <x:c r="AX63" s="210"/>
      <x:c r="AY63" s="2"/>
      <x:c r="AZ63" s="2"/>
    </x:row>
    <x:row r="64" ht="13.5" customHeight="1">
      <x:c r="A64" s="2"/>
      <x:c r="B64" s="210" t="str">
        <x:v>Excel方眼紙</x:v>
      </x:c>
      <x:c r="C64" s="210"/>
      <x:c r="D64" s="210"/>
      <x:c r="E64" s="210"/>
      <x:c r="F64" s="210"/>
      <x:c r="G64" s="210"/>
      <x:c r="H64" s="210"/>
      <x:c r="I64" s="210"/>
      <x:c r="J64" s="210" t="str">
        <x:v>https://www.itmedia.co.jp/im/articles/1107/21/news114.html</x:v>
      </x:c>
      <x:c r="K64" s="210"/>
      <x:c r="L64" s="210"/>
      <x:c r="M64" s="210"/>
      <x:c r="N64" s="210"/>
      <x:c r="O64" s="210"/>
      <x:c r="P64" s="210"/>
      <x:c r="Q64" s="210"/>
      <x:c r="R64" s="210"/>
      <x:c r="S64" s="210"/>
      <x:c r="T64" s="210"/>
      <x:c r="U64" s="210"/>
      <x:c r="V64" s="210"/>
      <x:c r="W64" s="210"/>
      <x:c r="X64" s="210"/>
      <x:c r="Y64" s="210"/>
      <x:c r="Z64" s="210"/>
      <x:c r="AA64" s="210"/>
      <x:c r="AB64" s="210"/>
      <x:c r="AC64" s="210"/>
      <x:c r="AD64" s="210"/>
      <x:c r="AE64" s="210"/>
      <x:c r="AF64" s="210"/>
      <x:c r="AG64" s="210"/>
      <x:c r="AH64" s="210"/>
      <x:c r="AI64" s="210"/>
      <x:c r="AJ64" s="210" t="str">
        <x:v>セル結合・細幅列で紙面レイアウトを組む日本の仕様書慣行</x:v>
      </x:c>
      <x:c r="AK64" s="210"/>
      <x:c r="AL64" s="210"/>
      <x:c r="AM64" s="210"/>
      <x:c r="AN64" s="210"/>
      <x:c r="AO64" s="210"/>
      <x:c r="AP64" s="210"/>
      <x:c r="AQ64" s="210"/>
      <x:c r="AR64" s="210"/>
      <x:c r="AS64" s="210"/>
      <x:c r="AT64" s="210"/>
      <x:c r="AU64" s="210"/>
      <x:c r="AV64" s="210"/>
      <x:c r="AW64" s="210"/>
      <x:c r="AX64" s="210"/>
      <x:c r="AY64" s="2"/>
      <x:c r="AZ64" s="2"/>
    </x:row>
    <x:row r="65" ht="13.5" customHeight="1">
      <x:c r="A65" s="2"/>
      <x:c r="B65" s="210"/>
      <x:c r="C65" s="210"/>
      <x:c r="D65" s="210"/>
      <x:c r="E65" s="210"/>
      <x:c r="F65" s="210"/>
      <x:c r="G65" s="210"/>
      <x:c r="H65" s="210"/>
      <x:c r="I65" s="210"/>
      <x:c r="J65" s="210"/>
      <x:c r="K65" s="210"/>
      <x:c r="L65" s="210"/>
      <x:c r="M65" s="210"/>
      <x:c r="N65" s="210"/>
      <x:c r="O65" s="210"/>
      <x:c r="P65" s="210"/>
      <x:c r="Q65" s="210"/>
      <x:c r="R65" s="210"/>
      <x:c r="S65" s="210"/>
      <x:c r="T65" s="210"/>
      <x:c r="U65" s="210"/>
      <x:c r="V65" s="210"/>
      <x:c r="W65" s="210"/>
      <x:c r="X65" s="210"/>
      <x:c r="Y65" s="210"/>
      <x:c r="Z65" s="210"/>
      <x:c r="AA65" s="210"/>
      <x:c r="AB65" s="210"/>
      <x:c r="AC65" s="210"/>
      <x:c r="AD65" s="210"/>
      <x:c r="AE65" s="210"/>
      <x:c r="AF65" s="210"/>
      <x:c r="AG65" s="210"/>
      <x:c r="AH65" s="210"/>
      <x:c r="AI65" s="210"/>
      <x:c r="AJ65" s="210"/>
      <x:c r="AK65" s="210"/>
      <x:c r="AL65" s="210"/>
      <x:c r="AM65" s="210"/>
      <x:c r="AN65" s="210"/>
      <x:c r="AO65" s="210"/>
      <x:c r="AP65" s="210"/>
      <x:c r="AQ65" s="210"/>
      <x:c r="AR65" s="210"/>
      <x:c r="AS65" s="210"/>
      <x:c r="AT65" s="210"/>
      <x:c r="AU65" s="210"/>
      <x:c r="AV65" s="210"/>
      <x:c r="AW65" s="210"/>
      <x:c r="AX65" s="210"/>
      <x:c r="AY65" s="2"/>
      <x:c r="AZ65" s="2"/>
    </x:row>
    <x:row r="66" ht="13.5" customHeight="1">
      <x:c r="A66" s="2"/>
      <x:c r="B66" s="210" t="str">
        <x:v>システムの振る舞い</x:v>
      </x:c>
      <x:c r="C66" s="210"/>
      <x:c r="D66" s="210"/>
      <x:c r="E66" s="210"/>
      <x:c r="F66" s="210"/>
      <x:c r="G66" s="210"/>
      <x:c r="H66" s="210"/>
      <x:c r="I66" s="210"/>
      <x:c r="J66" s="210" t="str">
        <x:v>https://www.ipa.go.jp/archive/files/000004525.pdf</x:v>
      </x:c>
      <x:c r="K66" s="210"/>
      <x:c r="L66" s="210"/>
      <x:c r="M66" s="210"/>
      <x:c r="N66" s="210"/>
      <x:c r="O66" s="210"/>
      <x:c r="P66" s="210"/>
      <x:c r="Q66" s="210"/>
      <x:c r="R66" s="210"/>
      <x:c r="S66" s="210"/>
      <x:c r="T66" s="210"/>
      <x:c r="U66" s="210"/>
      <x:c r="V66" s="210"/>
      <x:c r="W66" s="210"/>
      <x:c r="X66" s="210"/>
      <x:c r="Y66" s="210"/>
      <x:c r="Z66" s="210"/>
      <x:c r="AA66" s="210"/>
      <x:c r="AB66" s="210"/>
      <x:c r="AC66" s="210"/>
      <x:c r="AD66" s="210"/>
      <x:c r="AE66" s="210"/>
      <x:c r="AF66" s="210"/>
      <x:c r="AG66" s="210"/>
      <x:c r="AH66" s="210"/>
      <x:c r="AI66" s="210"/>
      <x:c r="AJ66" s="210" t="str">
        <x:v>業務フロー・状態・画面などを合意形成可能な粒度で表現</x:v>
      </x:c>
      <x:c r="AK66" s="210"/>
      <x:c r="AL66" s="210"/>
      <x:c r="AM66" s="210"/>
      <x:c r="AN66" s="210"/>
      <x:c r="AO66" s="210"/>
      <x:c r="AP66" s="210"/>
      <x:c r="AQ66" s="210"/>
      <x:c r="AR66" s="210"/>
      <x:c r="AS66" s="210"/>
      <x:c r="AT66" s="210"/>
      <x:c r="AU66" s="210"/>
      <x:c r="AV66" s="210"/>
      <x:c r="AW66" s="210"/>
      <x:c r="AX66" s="210"/>
      <x:c r="AY66" s="2"/>
      <x:c r="AZ66" s="2"/>
    </x:row>
    <x:row r="67" ht="13.5" customHeight="1">
      <x:c r="A67" s="2"/>
      <x:c r="B67" s="210"/>
      <x:c r="C67" s="210"/>
      <x:c r="D67" s="210"/>
      <x:c r="E67" s="210"/>
      <x:c r="F67" s="210"/>
      <x:c r="G67" s="210"/>
      <x:c r="H67" s="210"/>
      <x:c r="I67" s="210"/>
      <x:c r="J67" s="210"/>
      <x:c r="K67" s="210"/>
      <x:c r="L67" s="210"/>
      <x:c r="M67" s="210"/>
      <x:c r="N67" s="210"/>
      <x:c r="O67" s="210"/>
      <x:c r="P67" s="210"/>
      <x:c r="Q67" s="210"/>
      <x:c r="R67" s="210"/>
      <x:c r="S67" s="210"/>
      <x:c r="T67" s="210"/>
      <x:c r="U67" s="210"/>
      <x:c r="V67" s="210"/>
      <x:c r="W67" s="210"/>
      <x:c r="X67" s="210"/>
      <x:c r="Y67" s="210"/>
      <x:c r="Z67" s="210"/>
      <x:c r="AA67" s="210"/>
      <x:c r="AB67" s="210"/>
      <x:c r="AC67" s="210"/>
      <x:c r="AD67" s="210"/>
      <x:c r="AE67" s="210"/>
      <x:c r="AF67" s="210"/>
      <x:c r="AG67" s="210"/>
      <x:c r="AH67" s="210"/>
      <x:c r="AI67" s="210"/>
      <x:c r="AJ67" s="210"/>
      <x:c r="AK67" s="210"/>
      <x:c r="AL67" s="210"/>
      <x:c r="AM67" s="210"/>
      <x:c r="AN67" s="210"/>
      <x:c r="AO67" s="210"/>
      <x:c r="AP67" s="210"/>
      <x:c r="AQ67" s="210"/>
      <x:c r="AR67" s="210"/>
      <x:c r="AS67" s="210"/>
      <x:c r="AT67" s="210"/>
      <x:c r="AU67" s="210"/>
      <x:c r="AV67" s="210"/>
      <x:c r="AW67" s="210"/>
      <x:c r="AX67" s="210"/>
      <x:c r="AY67" s="2"/>
      <x:c r="AZ67" s="2"/>
    </x:row>
    <x:row r="68" ht="13.5" customHeight="1">
      <x:c r="A68" s="2"/>
      <x:c r="B68" s="210" t="str">
        <x:v>フローチャート記号</x:v>
      </x:c>
      <x:c r="C68" s="210"/>
      <x:c r="D68" s="210"/>
      <x:c r="E68" s="210"/>
      <x:c r="F68" s="210"/>
      <x:c r="G68" s="210"/>
      <x:c r="H68" s="210"/>
      <x:c r="I68" s="210"/>
      <x:c r="J68" s="210" t="str">
        <x:v>https://support.microsoft.com/en-us/office/create-a-basic-flowchart-in-visio-e207d975-4a51-4bfa-a356-eeec314bd276</x:v>
      </x:c>
      <x:c r="K68" s="210"/>
      <x:c r="L68" s="210"/>
      <x:c r="M68" s="210"/>
      <x:c r="N68" s="210"/>
      <x:c r="O68" s="210"/>
      <x:c r="P68" s="210"/>
      <x:c r="Q68" s="210"/>
      <x:c r="R68" s="210"/>
      <x:c r="S68" s="210"/>
      <x:c r="T68" s="210"/>
      <x:c r="U68" s="210"/>
      <x:c r="V68" s="210"/>
      <x:c r="W68" s="210"/>
      <x:c r="X68" s="210"/>
      <x:c r="Y68" s="210"/>
      <x:c r="Z68" s="210"/>
      <x:c r="AA68" s="210"/>
      <x:c r="AB68" s="210"/>
      <x:c r="AC68" s="210"/>
      <x:c r="AD68" s="210"/>
      <x:c r="AE68" s="210"/>
      <x:c r="AF68" s="210"/>
      <x:c r="AG68" s="210"/>
      <x:c r="AH68" s="210"/>
      <x:c r="AI68" s="210"/>
      <x:c r="AJ68" s="210" t="str">
        <x:v>開始終了、処理、判断、入出力、コネクタを意味に応じて使用</x:v>
      </x:c>
      <x:c r="AK68" s="210"/>
      <x:c r="AL68" s="210"/>
      <x:c r="AM68" s="210"/>
      <x:c r="AN68" s="210"/>
      <x:c r="AO68" s="210"/>
      <x:c r="AP68" s="210"/>
      <x:c r="AQ68" s="210"/>
      <x:c r="AR68" s="210"/>
      <x:c r="AS68" s="210"/>
      <x:c r="AT68" s="210"/>
      <x:c r="AU68" s="210"/>
      <x:c r="AV68" s="210"/>
      <x:c r="AW68" s="210"/>
      <x:c r="AX68" s="210"/>
      <x:c r="AY68" s="2"/>
      <x:c r="AZ68" s="2"/>
    </x:row>
    <x:row r="69" ht="13.5" customHeight="1">
      <x:c r="A69" s="2"/>
      <x:c r="B69" s="210"/>
      <x:c r="C69" s="210"/>
      <x:c r="D69" s="210"/>
      <x:c r="E69" s="210"/>
      <x:c r="F69" s="210"/>
      <x:c r="G69" s="210"/>
      <x:c r="H69" s="210"/>
      <x:c r="I69" s="210"/>
      <x:c r="J69" s="210"/>
      <x:c r="K69" s="210"/>
      <x:c r="L69" s="210"/>
      <x:c r="M69" s="210"/>
      <x:c r="N69" s="210"/>
      <x:c r="O69" s="210"/>
      <x:c r="P69" s="210"/>
      <x:c r="Q69" s="210"/>
      <x:c r="R69" s="210"/>
      <x:c r="S69" s="210"/>
      <x:c r="T69" s="210"/>
      <x:c r="U69" s="210"/>
      <x:c r="V69" s="210"/>
      <x:c r="W69" s="210"/>
      <x:c r="X69" s="210"/>
      <x:c r="Y69" s="210"/>
      <x:c r="Z69" s="210"/>
      <x:c r="AA69" s="210"/>
      <x:c r="AB69" s="210"/>
      <x:c r="AC69" s="210"/>
      <x:c r="AD69" s="210"/>
      <x:c r="AE69" s="210"/>
      <x:c r="AF69" s="210"/>
      <x:c r="AG69" s="210"/>
      <x:c r="AH69" s="210"/>
      <x:c r="AI69" s="210"/>
      <x:c r="AJ69" s="210"/>
      <x:c r="AK69" s="210"/>
      <x:c r="AL69" s="210"/>
      <x:c r="AM69" s="210"/>
      <x:c r="AN69" s="210"/>
      <x:c r="AO69" s="210"/>
      <x:c r="AP69" s="210"/>
      <x:c r="AQ69" s="210"/>
      <x:c r="AR69" s="210"/>
      <x:c r="AS69" s="210"/>
      <x:c r="AT69" s="210"/>
      <x:c r="AU69" s="210"/>
      <x:c r="AV69" s="210"/>
      <x:c r="AW69" s="210"/>
      <x:c r="AX69" s="210"/>
      <x:c r="AY69" s="2"/>
      <x:c r="AZ69" s="2"/>
    </x:row>
    <x:row r="70" ht="13.5" customHeight="1">
      <x:c r="A70" s="2"/>
      <x:c r="B70" s="210" t="str">
        <x:v>UMLシーケンス図</x:v>
      </x:c>
      <x:c r="C70" s="210"/>
      <x:c r="D70" s="210"/>
      <x:c r="E70" s="210"/>
      <x:c r="F70" s="210"/>
      <x:c r="G70" s="210"/>
      <x:c r="H70" s="210"/>
      <x:c r="I70" s="210"/>
      <x:c r="J70" s="210" t="str">
        <x:v>https://www.omg.org/spec/UML/ISO/19505-2/PDF</x:v>
      </x:c>
      <x:c r="K70" s="210"/>
      <x:c r="L70" s="210"/>
      <x:c r="M70" s="210"/>
      <x:c r="N70" s="210"/>
      <x:c r="O70" s="210"/>
      <x:c r="P70" s="210"/>
      <x:c r="Q70" s="210"/>
      <x:c r="R70" s="210"/>
      <x:c r="S70" s="210"/>
      <x:c r="T70" s="210"/>
      <x:c r="U70" s="210"/>
      <x:c r="V70" s="210"/>
      <x:c r="W70" s="210"/>
      <x:c r="X70" s="210"/>
      <x:c r="Y70" s="210"/>
      <x:c r="Z70" s="210"/>
      <x:c r="AA70" s="210"/>
      <x:c r="AB70" s="210"/>
      <x:c r="AC70" s="210"/>
      <x:c r="AD70" s="210"/>
      <x:c r="AE70" s="210"/>
      <x:c r="AF70" s="210"/>
      <x:c r="AG70" s="210"/>
      <x:c r="AH70" s="210"/>
      <x:c r="AI70" s="210"/>
      <x:c r="AJ70" s="210" t="str">
        <x:v>sdフレーム、ライフライン、実行区間、call/reply、alt・breakを使用</x:v>
      </x:c>
      <x:c r="AK70" s="210"/>
      <x:c r="AL70" s="210"/>
      <x:c r="AM70" s="210"/>
      <x:c r="AN70" s="210"/>
      <x:c r="AO70" s="210"/>
      <x:c r="AP70" s="210"/>
      <x:c r="AQ70" s="210"/>
      <x:c r="AR70" s="210"/>
      <x:c r="AS70" s="210"/>
      <x:c r="AT70" s="210"/>
      <x:c r="AU70" s="210"/>
      <x:c r="AV70" s="210"/>
      <x:c r="AW70" s="210"/>
      <x:c r="AX70" s="210"/>
      <x:c r="AY70" s="2"/>
      <x:c r="AZ70" s="2"/>
    </x:row>
    <x:row r="71" ht="13.5" customHeight="1">
      <x:c r="A71" s="2"/>
      <x:c r="B71" s="210"/>
      <x:c r="C71" s="210"/>
      <x:c r="D71" s="210"/>
      <x:c r="E71" s="210"/>
      <x:c r="F71" s="210"/>
      <x:c r="G71" s="210"/>
      <x:c r="H71" s="210"/>
      <x:c r="I71" s="210"/>
      <x:c r="J71" s="210"/>
      <x:c r="K71" s="210"/>
      <x:c r="L71" s="210"/>
      <x:c r="M71" s="210"/>
      <x:c r="N71" s="210"/>
      <x:c r="O71" s="210"/>
      <x:c r="P71" s="210"/>
      <x:c r="Q71" s="210"/>
      <x:c r="R71" s="210"/>
      <x:c r="S71" s="210"/>
      <x:c r="T71" s="210"/>
      <x:c r="U71" s="210"/>
      <x:c r="V71" s="210"/>
      <x:c r="W71" s="210"/>
      <x:c r="X71" s="210"/>
      <x:c r="Y71" s="210"/>
      <x:c r="Z71" s="210"/>
      <x:c r="AA71" s="210"/>
      <x:c r="AB71" s="210"/>
      <x:c r="AC71" s="210"/>
      <x:c r="AD71" s="210"/>
      <x:c r="AE71" s="210"/>
      <x:c r="AF71" s="210"/>
      <x:c r="AG71" s="210"/>
      <x:c r="AH71" s="210"/>
      <x:c r="AI71" s="210"/>
      <x:c r="AJ71" s="210"/>
      <x:c r="AK71" s="210"/>
      <x:c r="AL71" s="210"/>
      <x:c r="AM71" s="210"/>
      <x:c r="AN71" s="210"/>
      <x:c r="AO71" s="210"/>
      <x:c r="AP71" s="210"/>
      <x:c r="AQ71" s="210"/>
      <x:c r="AR71" s="210"/>
      <x:c r="AS71" s="210"/>
      <x:c r="AT71" s="210"/>
      <x:c r="AU71" s="210"/>
      <x:c r="AV71" s="210"/>
      <x:c r="AW71" s="210"/>
      <x:c r="AX71" s="210"/>
      <x:c r="AY71" s="2"/>
      <x:c r="AZ71" s="2"/>
    </x:row>
    <x:row r="72" ht="13.5" customHeight="1">
      <x:c r="A72" s="2"/>
      <x:c r="B72" s="210" t="str">
        <x:v>Excel図形列挙</x:v>
      </x:c>
      <x:c r="C72" s="210"/>
      <x:c r="D72" s="210"/>
      <x:c r="E72" s="210"/>
      <x:c r="F72" s="210"/>
      <x:c r="G72" s="210"/>
      <x:c r="H72" s="210"/>
      <x:c r="I72" s="210"/>
      <x:c r="J72" s="210" t="str">
        <x:v>https://learn.microsoft.com/en-us/office/vba/api/office.msoautoshapetype</x:v>
      </x:c>
      <x:c r="K72" s="210"/>
      <x:c r="L72" s="210"/>
      <x:c r="M72" s="210"/>
      <x:c r="N72" s="210"/>
      <x:c r="O72" s="210"/>
      <x:c r="P72" s="210"/>
      <x:c r="Q72" s="210"/>
      <x:c r="R72" s="210"/>
      <x:c r="S72" s="210"/>
      <x:c r="T72" s="210"/>
      <x:c r="U72" s="210"/>
      <x:c r="V72" s="210"/>
      <x:c r="W72" s="210"/>
      <x:c r="X72" s="210"/>
      <x:c r="Y72" s="210"/>
      <x:c r="Z72" s="210"/>
      <x:c r="AA72" s="210"/>
      <x:c r="AB72" s="210"/>
      <x:c r="AC72" s="210"/>
      <x:c r="AD72" s="210"/>
      <x:c r="AE72" s="210"/>
      <x:c r="AF72" s="210"/>
      <x:c r="AG72" s="210"/>
      <x:c r="AH72" s="210"/>
      <x:c r="AI72" s="210"/>
      <x:c r="AJ72" s="210" t="str">
        <x:v>フローチャート用の判断・処理・端子等の図形分類を確認</x:v>
      </x:c>
      <x:c r="AK72" s="210"/>
      <x:c r="AL72" s="210"/>
      <x:c r="AM72" s="210"/>
      <x:c r="AN72" s="210"/>
      <x:c r="AO72" s="210"/>
      <x:c r="AP72" s="210"/>
      <x:c r="AQ72" s="210"/>
      <x:c r="AR72" s="210"/>
      <x:c r="AS72" s="210"/>
      <x:c r="AT72" s="210"/>
      <x:c r="AU72" s="210"/>
      <x:c r="AV72" s="210"/>
      <x:c r="AW72" s="210"/>
      <x:c r="AX72" s="210"/>
      <x:c r="AY72" s="2"/>
      <x:c r="AZ72" s="2"/>
    </x:row>
    <x:row r="73" ht="13.5" customHeight="1">
      <x:c r="A73" s="2"/>
      <x:c r="B73" s="210"/>
      <x:c r="C73" s="210"/>
      <x:c r="D73" s="210"/>
      <x:c r="E73" s="210"/>
      <x:c r="F73" s="210"/>
      <x:c r="G73" s="210"/>
      <x:c r="H73" s="210"/>
      <x:c r="I73" s="210"/>
      <x:c r="J73" s="210"/>
      <x:c r="K73" s="210"/>
      <x:c r="L73" s="210"/>
      <x:c r="M73" s="210"/>
      <x:c r="N73" s="210"/>
      <x:c r="O73" s="210"/>
      <x:c r="P73" s="210"/>
      <x:c r="Q73" s="210"/>
      <x:c r="R73" s="210"/>
      <x:c r="S73" s="210"/>
      <x:c r="T73" s="210"/>
      <x:c r="U73" s="210"/>
      <x:c r="V73" s="210"/>
      <x:c r="W73" s="210"/>
      <x:c r="X73" s="210"/>
      <x:c r="Y73" s="210"/>
      <x:c r="Z73" s="210"/>
      <x:c r="AA73" s="210"/>
      <x:c r="AB73" s="210"/>
      <x:c r="AC73" s="210"/>
      <x:c r="AD73" s="210"/>
      <x:c r="AE73" s="210"/>
      <x:c r="AF73" s="210"/>
      <x:c r="AG73" s="210"/>
      <x:c r="AH73" s="210"/>
      <x:c r="AI73" s="210"/>
      <x:c r="AJ73" s="210"/>
      <x:c r="AK73" s="210"/>
      <x:c r="AL73" s="210"/>
      <x:c r="AM73" s="210"/>
      <x:c r="AN73" s="210"/>
      <x:c r="AO73" s="210"/>
      <x:c r="AP73" s="210"/>
      <x:c r="AQ73" s="210"/>
      <x:c r="AR73" s="210"/>
      <x:c r="AS73" s="210"/>
      <x:c r="AT73" s="210"/>
      <x:c r="AU73" s="210"/>
      <x:c r="AV73" s="210"/>
      <x:c r="AW73" s="210"/>
      <x:c r="AX73" s="210"/>
      <x:c r="AY73" s="2"/>
      <x:c r="AZ73" s="2"/>
    </x:row>
    <x:row r="74" ht="13.5" customHeight="1">
      <x:c r="A74" s="2"/>
      <x:c r="B74" s="210" t="str">
        <x:v>バッチ／フロー表記</x:v>
      </x:c>
      <x:c r="C74" s="210"/>
      <x:c r="D74" s="210"/>
      <x:c r="E74" s="210"/>
      <x:c r="F74" s="210"/>
      <x:c r="G74" s="210"/>
      <x:c r="H74" s="210"/>
      <x:c r="I74" s="210"/>
      <x:c r="J74" s="210" t="str">
        <x:v>https://www.ipa.go.jp/archive/files/000004501.pdf</x:v>
      </x:c>
      <x:c r="K74" s="210"/>
      <x:c r="L74" s="210"/>
      <x:c r="M74" s="210"/>
      <x:c r="N74" s="210"/>
      <x:c r="O74" s="210"/>
      <x:c r="P74" s="210"/>
      <x:c r="Q74" s="210"/>
      <x:c r="R74" s="210"/>
      <x:c r="S74" s="210"/>
      <x:c r="T74" s="210"/>
      <x:c r="U74" s="210"/>
      <x:c r="V74" s="210"/>
      <x:c r="W74" s="210"/>
      <x:c r="X74" s="210"/>
      <x:c r="Y74" s="210"/>
      <x:c r="Z74" s="210"/>
      <x:c r="AA74" s="210"/>
      <x:c r="AB74" s="210"/>
      <x:c r="AC74" s="210"/>
      <x:c r="AD74" s="210"/>
      <x:c r="AE74" s="210"/>
      <x:c r="AF74" s="210"/>
      <x:c r="AG74" s="210"/>
      <x:c r="AH74" s="210"/>
      <x:c r="AI74" s="210"/>
      <x:c r="AJ74" s="210" t="str">
        <x:v>使用記号の意味と形式を文書内で定義する方針</x:v>
      </x:c>
      <x:c r="AK74" s="210"/>
      <x:c r="AL74" s="210"/>
      <x:c r="AM74" s="210"/>
      <x:c r="AN74" s="210"/>
      <x:c r="AO74" s="210"/>
      <x:c r="AP74" s="210"/>
      <x:c r="AQ74" s="210"/>
      <x:c r="AR74" s="210"/>
      <x:c r="AS74" s="210"/>
      <x:c r="AT74" s="210"/>
      <x:c r="AU74" s="210"/>
      <x:c r="AV74" s="210"/>
      <x:c r="AW74" s="210"/>
      <x:c r="AX74" s="210"/>
      <x:c r="AY74" s="2"/>
      <x:c r="AZ74" s="2"/>
    </x:row>
    <x:row r="75" ht="13.5" customHeight="1">
      <x:c r="A75" s="2"/>
      <x:c r="B75" s="210"/>
      <x:c r="C75" s="210"/>
      <x:c r="D75" s="210"/>
      <x:c r="E75" s="210"/>
      <x:c r="F75" s="210"/>
      <x:c r="G75" s="210"/>
      <x:c r="H75" s="210"/>
      <x:c r="I75" s="210"/>
      <x:c r="J75" s="210"/>
      <x:c r="K75" s="210"/>
      <x:c r="L75" s="210"/>
      <x:c r="M75" s="210"/>
      <x:c r="N75" s="210"/>
      <x:c r="O75" s="210"/>
      <x:c r="P75" s="210"/>
      <x:c r="Q75" s="210"/>
      <x:c r="R75" s="210"/>
      <x:c r="S75" s="210"/>
      <x:c r="T75" s="210"/>
      <x:c r="U75" s="210"/>
      <x:c r="V75" s="210"/>
      <x:c r="W75" s="210"/>
      <x:c r="X75" s="210"/>
      <x:c r="Y75" s="210"/>
      <x:c r="Z75" s="210"/>
      <x:c r="AA75" s="210"/>
      <x:c r="AB75" s="210"/>
      <x:c r="AC75" s="210"/>
      <x:c r="AD75" s="210"/>
      <x:c r="AE75" s="210"/>
      <x:c r="AF75" s="210"/>
      <x:c r="AG75" s="210"/>
      <x:c r="AH75" s="210"/>
      <x:c r="AI75" s="210"/>
      <x:c r="AJ75" s="210"/>
      <x:c r="AK75" s="210"/>
      <x:c r="AL75" s="210"/>
      <x:c r="AM75" s="210"/>
      <x:c r="AN75" s="210"/>
      <x:c r="AO75" s="210"/>
      <x:c r="AP75" s="210"/>
      <x:c r="AQ75" s="210"/>
      <x:c r="AR75" s="210"/>
      <x:c r="AS75" s="210"/>
      <x:c r="AT75" s="210"/>
      <x:c r="AU75" s="210"/>
      <x:c r="AV75" s="210"/>
      <x:c r="AW75" s="210"/>
      <x:c r="AX75" s="210"/>
      <x:c r="AY75" s="2"/>
      <x:c r="AZ75" s="2"/>
    </x:row>
    <x:row r="76" ht="13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 ht="13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 ht="13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 ht="13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 ht="13.5" customHeight="1">
      <x:c r="A80" s="2"/>
      <x:c r="B80" s="197" t="str">
        <x:v>注記：Excel方眼紙は自由配置のため、仕様要素間のクロスリファレンスやコードとの整合維持が難しくなりやすい。本書では図番号・TR/API/IF/NFR/TC/ADR/Alarm ID、版履歴、Owner・期限、参照URLを明示して保守性を補う。</x:v>
      </x:c>
      <x:c r="C80" s="198"/>
      <x:c r="D80" s="198"/>
      <x:c r="E80" s="198"/>
      <x:c r="F80" s="198"/>
      <x:c r="G80" s="198"/>
      <x:c r="H80" s="198"/>
      <x:c r="I80" s="198"/>
      <x:c r="J80" s="198"/>
      <x:c r="K80" s="198"/>
      <x:c r="L80" s="198"/>
      <x:c r="M80" s="198"/>
      <x:c r="N80" s="198"/>
      <x:c r="O80" s="198"/>
      <x:c r="P80" s="198"/>
      <x:c r="Q80" s="198"/>
      <x:c r="R80" s="198"/>
      <x:c r="S80" s="198"/>
      <x:c r="T80" s="198"/>
      <x:c r="U80" s="198"/>
      <x:c r="V80" s="198"/>
      <x:c r="W80" s="198"/>
      <x:c r="X80" s="198"/>
      <x:c r="Y80" s="198"/>
      <x:c r="Z80" s="198"/>
      <x:c r="AA80" s="198"/>
      <x:c r="AB80" s="198"/>
      <x:c r="AC80" s="198"/>
      <x:c r="AD80" s="198"/>
      <x:c r="AE80" s="198"/>
      <x:c r="AF80" s="198"/>
      <x:c r="AG80" s="198"/>
      <x:c r="AH80" s="198"/>
      <x:c r="AI80" s="198"/>
      <x:c r="AJ80" s="198"/>
      <x:c r="AK80" s="198"/>
      <x:c r="AL80" s="198"/>
      <x:c r="AM80" s="198"/>
      <x:c r="AN80" s="198"/>
      <x:c r="AO80" s="198"/>
      <x:c r="AP80" s="198"/>
      <x:c r="AQ80" s="198"/>
      <x:c r="AR80" s="198"/>
      <x:c r="AS80" s="198"/>
      <x:c r="AT80" s="198"/>
      <x:c r="AU80" s="198"/>
      <x:c r="AV80" s="198"/>
      <x:c r="AW80" s="198"/>
      <x:c r="AX80" s="199"/>
      <x:c r="AY80" s="2"/>
      <x:c r="AZ80" s="2"/>
    </x:row>
    <x:row r="81" ht="13.5" customHeight="1">
      <x:c r="A81" s="2"/>
      <x:c r="B81" s="200"/>
      <x:c r="C81" s="201"/>
      <x:c r="D81" s="201"/>
      <x:c r="E81" s="201"/>
      <x:c r="F81" s="201"/>
      <x:c r="G81" s="201"/>
      <x:c r="H81" s="201"/>
      <x:c r="I81" s="201"/>
      <x:c r="J81" s="201"/>
      <x:c r="K81" s="201"/>
      <x:c r="L81" s="201"/>
      <x:c r="M81" s="201"/>
      <x:c r="N81" s="201"/>
      <x:c r="O81" s="201"/>
      <x:c r="P81" s="201"/>
      <x:c r="Q81" s="201"/>
      <x:c r="R81" s="201"/>
      <x:c r="S81" s="201"/>
      <x:c r="T81" s="201"/>
      <x:c r="U81" s="201"/>
      <x:c r="V81" s="201"/>
      <x:c r="W81" s="201"/>
      <x:c r="X81" s="201"/>
      <x:c r="Y81" s="201"/>
      <x:c r="Z81" s="201"/>
      <x:c r="AA81" s="201"/>
      <x:c r="AB81" s="201"/>
      <x:c r="AC81" s="201"/>
      <x:c r="AD81" s="201"/>
      <x:c r="AE81" s="201"/>
      <x:c r="AF81" s="201"/>
      <x:c r="AG81" s="201"/>
      <x:c r="AH81" s="201"/>
      <x:c r="AI81" s="201"/>
      <x:c r="AJ81" s="201"/>
      <x:c r="AK81" s="201"/>
      <x:c r="AL81" s="201"/>
      <x:c r="AM81" s="201"/>
      <x:c r="AN81" s="201"/>
      <x:c r="AO81" s="201"/>
      <x:c r="AP81" s="201"/>
      <x:c r="AQ81" s="201"/>
      <x:c r="AR81" s="201"/>
      <x:c r="AS81" s="201"/>
      <x:c r="AT81" s="201"/>
      <x:c r="AU81" s="201"/>
      <x:c r="AV81" s="201"/>
      <x:c r="AW81" s="201"/>
      <x:c r="AX81" s="202"/>
      <x:c r="AY81" s="2"/>
      <x:c r="AZ81" s="2"/>
    </x:row>
    <x:row r="82" ht="13.5" customHeight="1">
      <x:c r="A82" s="2"/>
      <x:c r="B82" s="200"/>
      <x:c r="C82" s="201"/>
      <x:c r="D82" s="201"/>
      <x:c r="E82" s="201"/>
      <x:c r="F82" s="201"/>
      <x:c r="G82" s="201"/>
      <x:c r="H82" s="201"/>
      <x:c r="I82" s="201"/>
      <x:c r="J82" s="201"/>
      <x:c r="K82" s="201"/>
      <x:c r="L82" s="201"/>
      <x:c r="M82" s="201"/>
      <x:c r="N82" s="201"/>
      <x:c r="O82" s="201"/>
      <x:c r="P82" s="201"/>
      <x:c r="Q82" s="201"/>
      <x:c r="R82" s="201"/>
      <x:c r="S82" s="201"/>
      <x:c r="T82" s="201"/>
      <x:c r="U82" s="201"/>
      <x:c r="V82" s="201"/>
      <x:c r="W82" s="201"/>
      <x:c r="X82" s="201"/>
      <x:c r="Y82" s="201"/>
      <x:c r="Z82" s="201"/>
      <x:c r="AA82" s="201"/>
      <x:c r="AB82" s="201"/>
      <x:c r="AC82" s="201"/>
      <x:c r="AD82" s="201"/>
      <x:c r="AE82" s="201"/>
      <x:c r="AF82" s="201"/>
      <x:c r="AG82" s="201"/>
      <x:c r="AH82" s="201"/>
      <x:c r="AI82" s="201"/>
      <x:c r="AJ82" s="201"/>
      <x:c r="AK82" s="201"/>
      <x:c r="AL82" s="201"/>
      <x:c r="AM82" s="201"/>
      <x:c r="AN82" s="201"/>
      <x:c r="AO82" s="201"/>
      <x:c r="AP82" s="201"/>
      <x:c r="AQ82" s="201"/>
      <x:c r="AR82" s="201"/>
      <x:c r="AS82" s="201"/>
      <x:c r="AT82" s="201"/>
      <x:c r="AU82" s="201"/>
      <x:c r="AV82" s="201"/>
      <x:c r="AW82" s="201"/>
      <x:c r="AX82" s="202"/>
      <x:c r="AY82" s="2"/>
      <x:c r="AZ82" s="2"/>
    </x:row>
    <x:row r="83" ht="13.5" customHeight="1">
      <x:c r="A83" s="2"/>
      <x:c r="B83" s="200"/>
      <x:c r="C83" s="201"/>
      <x:c r="D83" s="201"/>
      <x:c r="E83" s="201"/>
      <x:c r="F83" s="201"/>
      <x:c r="G83" s="201"/>
      <x:c r="H83" s="201"/>
      <x:c r="I83" s="201"/>
      <x:c r="J83" s="201"/>
      <x:c r="K83" s="201"/>
      <x:c r="L83" s="201"/>
      <x:c r="M83" s="201"/>
      <x:c r="N83" s="201"/>
      <x:c r="O83" s="201"/>
      <x:c r="P83" s="201"/>
      <x:c r="Q83" s="201"/>
      <x:c r="R83" s="201"/>
      <x:c r="S83" s="201"/>
      <x:c r="T83" s="201"/>
      <x:c r="U83" s="201"/>
      <x:c r="V83" s="201"/>
      <x:c r="W83" s="201"/>
      <x:c r="X83" s="201"/>
      <x:c r="Y83" s="201"/>
      <x:c r="Z83" s="201"/>
      <x:c r="AA83" s="201"/>
      <x:c r="AB83" s="201"/>
      <x:c r="AC83" s="201"/>
      <x:c r="AD83" s="201"/>
      <x:c r="AE83" s="201"/>
      <x:c r="AF83" s="201"/>
      <x:c r="AG83" s="201"/>
      <x:c r="AH83" s="201"/>
      <x:c r="AI83" s="201"/>
      <x:c r="AJ83" s="201"/>
      <x:c r="AK83" s="201"/>
      <x:c r="AL83" s="201"/>
      <x:c r="AM83" s="201"/>
      <x:c r="AN83" s="201"/>
      <x:c r="AO83" s="201"/>
      <x:c r="AP83" s="201"/>
      <x:c r="AQ83" s="201"/>
      <x:c r="AR83" s="201"/>
      <x:c r="AS83" s="201"/>
      <x:c r="AT83" s="201"/>
      <x:c r="AU83" s="201"/>
      <x:c r="AV83" s="201"/>
      <x:c r="AW83" s="201"/>
      <x:c r="AX83" s="202"/>
      <x:c r="AY83" s="2"/>
      <x:c r="AZ83" s="2"/>
    </x:row>
    <x:row r="84" ht="13.5" customHeight="1">
      <x:c r="A84" s="2"/>
      <x:c r="B84" s="200"/>
      <x:c r="C84" s="201"/>
      <x:c r="D84" s="201"/>
      <x:c r="E84" s="201"/>
      <x:c r="F84" s="201"/>
      <x:c r="G84" s="201"/>
      <x:c r="H84" s="201"/>
      <x:c r="I84" s="201"/>
      <x:c r="J84" s="201"/>
      <x:c r="K84" s="201"/>
      <x:c r="L84" s="201"/>
      <x:c r="M84" s="201"/>
      <x:c r="N84" s="201"/>
      <x:c r="O84" s="201"/>
      <x:c r="P84" s="201"/>
      <x:c r="Q84" s="201"/>
      <x:c r="R84" s="201"/>
      <x:c r="S84" s="201"/>
      <x:c r="T84" s="201"/>
      <x:c r="U84" s="201"/>
      <x:c r="V84" s="201"/>
      <x:c r="W84" s="201"/>
      <x:c r="X84" s="201"/>
      <x:c r="Y84" s="201"/>
      <x:c r="Z84" s="201"/>
      <x:c r="AA84" s="201"/>
      <x:c r="AB84" s="201"/>
      <x:c r="AC84" s="201"/>
      <x:c r="AD84" s="201"/>
      <x:c r="AE84" s="201"/>
      <x:c r="AF84" s="201"/>
      <x:c r="AG84" s="201"/>
      <x:c r="AH84" s="201"/>
      <x:c r="AI84" s="201"/>
      <x:c r="AJ84" s="201"/>
      <x:c r="AK84" s="201"/>
      <x:c r="AL84" s="201"/>
      <x:c r="AM84" s="201"/>
      <x:c r="AN84" s="201"/>
      <x:c r="AO84" s="201"/>
      <x:c r="AP84" s="201"/>
      <x:c r="AQ84" s="201"/>
      <x:c r="AR84" s="201"/>
      <x:c r="AS84" s="201"/>
      <x:c r="AT84" s="201"/>
      <x:c r="AU84" s="201"/>
      <x:c r="AV84" s="201"/>
      <x:c r="AW84" s="201"/>
      <x:c r="AX84" s="202"/>
      <x:c r="AY84" s="2"/>
      <x:c r="AZ84" s="2"/>
    </x:row>
    <x:row r="85" ht="13.5" customHeight="1">
      <x:c r="A85" s="2"/>
      <x:c r="B85" s="200"/>
      <x:c r="C85" s="201"/>
      <x:c r="D85" s="201"/>
      <x:c r="E85" s="201"/>
      <x:c r="F85" s="201"/>
      <x:c r="G85" s="201"/>
      <x:c r="H85" s="201"/>
      <x:c r="I85" s="201"/>
      <x:c r="J85" s="201"/>
      <x:c r="K85" s="201"/>
      <x:c r="L85" s="201"/>
      <x:c r="M85" s="201"/>
      <x:c r="N85" s="201"/>
      <x:c r="O85" s="201"/>
      <x:c r="P85" s="201"/>
      <x:c r="Q85" s="201"/>
      <x:c r="R85" s="201"/>
      <x:c r="S85" s="201"/>
      <x:c r="T85" s="201"/>
      <x:c r="U85" s="201"/>
      <x:c r="V85" s="201"/>
      <x:c r="W85" s="201"/>
      <x:c r="X85" s="201"/>
      <x:c r="Y85" s="201"/>
      <x:c r="Z85" s="201"/>
      <x:c r="AA85" s="201"/>
      <x:c r="AB85" s="201"/>
      <x:c r="AC85" s="201"/>
      <x:c r="AD85" s="201"/>
      <x:c r="AE85" s="201"/>
      <x:c r="AF85" s="201"/>
      <x:c r="AG85" s="201"/>
      <x:c r="AH85" s="201"/>
      <x:c r="AI85" s="201"/>
      <x:c r="AJ85" s="201"/>
      <x:c r="AK85" s="201"/>
      <x:c r="AL85" s="201"/>
      <x:c r="AM85" s="201"/>
      <x:c r="AN85" s="201"/>
      <x:c r="AO85" s="201"/>
      <x:c r="AP85" s="201"/>
      <x:c r="AQ85" s="201"/>
      <x:c r="AR85" s="201"/>
      <x:c r="AS85" s="201"/>
      <x:c r="AT85" s="201"/>
      <x:c r="AU85" s="201"/>
      <x:c r="AV85" s="201"/>
      <x:c r="AW85" s="201"/>
      <x:c r="AX85" s="202"/>
      <x:c r="AY85" s="2"/>
      <x:c r="AZ85" s="2"/>
    </x:row>
    <x:row r="86" ht="13.5" customHeight="1">
      <x:c r="A86" s="2"/>
      <x:c r="B86" s="200"/>
      <x:c r="C86" s="201"/>
      <x:c r="D86" s="201"/>
      <x:c r="E86" s="201"/>
      <x:c r="F86" s="201"/>
      <x:c r="G86" s="201"/>
      <x:c r="H86" s="201"/>
      <x:c r="I86" s="201"/>
      <x:c r="J86" s="201"/>
      <x:c r="K86" s="201"/>
      <x:c r="L86" s="201"/>
      <x:c r="M86" s="201"/>
      <x:c r="N86" s="201"/>
      <x:c r="O86" s="201"/>
      <x:c r="P86" s="201"/>
      <x:c r="Q86" s="201"/>
      <x:c r="R86" s="201"/>
      <x:c r="S86" s="201"/>
      <x:c r="T86" s="201"/>
      <x:c r="U86" s="201"/>
      <x:c r="V86" s="201"/>
      <x:c r="W86" s="201"/>
      <x:c r="X86" s="201"/>
      <x:c r="Y86" s="201"/>
      <x:c r="Z86" s="201"/>
      <x:c r="AA86" s="201"/>
      <x:c r="AB86" s="201"/>
      <x:c r="AC86" s="201"/>
      <x:c r="AD86" s="201"/>
      <x:c r="AE86" s="201"/>
      <x:c r="AF86" s="201"/>
      <x:c r="AG86" s="201"/>
      <x:c r="AH86" s="201"/>
      <x:c r="AI86" s="201"/>
      <x:c r="AJ86" s="201"/>
      <x:c r="AK86" s="201"/>
      <x:c r="AL86" s="201"/>
      <x:c r="AM86" s="201"/>
      <x:c r="AN86" s="201"/>
      <x:c r="AO86" s="201"/>
      <x:c r="AP86" s="201"/>
      <x:c r="AQ86" s="201"/>
      <x:c r="AR86" s="201"/>
      <x:c r="AS86" s="201"/>
      <x:c r="AT86" s="201"/>
      <x:c r="AU86" s="201"/>
      <x:c r="AV86" s="201"/>
      <x:c r="AW86" s="201"/>
      <x:c r="AX86" s="202"/>
      <x:c r="AY86" s="2"/>
      <x:c r="AZ86" s="2"/>
    </x:row>
    <x:row r="87" ht="13.5" customHeight="1">
      <x:c r="A87" s="2"/>
      <x:c r="B87" s="203"/>
      <x:c r="C87" s="204"/>
      <x:c r="D87" s="204"/>
      <x:c r="E87" s="204"/>
      <x:c r="F87" s="204"/>
      <x:c r="G87" s="204"/>
      <x:c r="H87" s="204"/>
      <x:c r="I87" s="204"/>
      <x:c r="J87" s="204"/>
      <x:c r="K87" s="204"/>
      <x:c r="L87" s="204"/>
      <x:c r="M87" s="204"/>
      <x:c r="N87" s="204"/>
      <x:c r="O87" s="204"/>
      <x:c r="P87" s="204"/>
      <x:c r="Q87" s="204"/>
      <x:c r="R87" s="204"/>
      <x:c r="S87" s="204"/>
      <x:c r="T87" s="204"/>
      <x:c r="U87" s="204"/>
      <x:c r="V87" s="204"/>
      <x:c r="W87" s="204"/>
      <x:c r="X87" s="204"/>
      <x:c r="Y87" s="204"/>
      <x:c r="Z87" s="204"/>
      <x:c r="AA87" s="204"/>
      <x:c r="AB87" s="204"/>
      <x:c r="AC87" s="204"/>
      <x:c r="AD87" s="204"/>
      <x:c r="AE87" s="204"/>
      <x:c r="AF87" s="204"/>
      <x:c r="AG87" s="204"/>
      <x:c r="AH87" s="204"/>
      <x:c r="AI87" s="204"/>
      <x:c r="AJ87" s="204"/>
      <x:c r="AK87" s="204"/>
      <x:c r="AL87" s="204"/>
      <x:c r="AM87" s="204"/>
      <x:c r="AN87" s="204"/>
      <x:c r="AO87" s="204"/>
      <x:c r="AP87" s="204"/>
      <x:c r="AQ87" s="204"/>
      <x:c r="AR87" s="204"/>
      <x:c r="AS87" s="204"/>
      <x:c r="AT87" s="204"/>
      <x:c r="AU87" s="204"/>
      <x:c r="AV87" s="204"/>
      <x:c r="AW87" s="204"/>
      <x:c r="AX87" s="205"/>
      <x:c r="AY87" s="2"/>
      <x:c r="AZ87" s="2"/>
    </x:row>
    <x:row r="88" ht="13.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 ht="13.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 ht="13.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 ht="13.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 ht="13.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 ht="13.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 ht="13.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 ht="13.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 ht="13.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 ht="13.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 ht="13.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 ht="13.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 ht="13.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</x:sheetData>
  <x:mergeCells>
    <x:mergeCell ref="A1:AZ2"/>
    <x:mergeCell ref="A3:AZ3"/>
    <x:mergeCell ref="A4:L4"/>
    <x:mergeCell ref="M4:R4"/>
    <x:mergeCell ref="S4:AE4"/>
    <x:mergeCell ref="AF4:AQ4"/>
    <x:mergeCell ref="AR4:AZ4"/>
    <x:mergeCell ref="B5:AX6"/>
    <x:mergeCell ref="C9:J12"/>
    <x:mergeCell ref="L9:Y12"/>
    <x:mergeCell ref="AB9:AI12"/>
    <x:mergeCell ref="AK9:AX12"/>
    <x:mergeCell ref="C16:J21"/>
    <x:mergeCell ref="L16:Y21"/>
    <x:mergeCell ref="AB16:AI20"/>
    <x:mergeCell ref="AK16:AX20"/>
    <x:mergeCell ref="C25:J30"/>
    <x:mergeCell ref="L25:Y30"/>
    <x:mergeCell ref="AB25:AI29"/>
    <x:mergeCell ref="AK25:AX29"/>
    <x:mergeCell ref="C33:J33"/>
    <x:mergeCell ref="L33:Y37"/>
    <x:mergeCell ref="AK33:AX37"/>
    <x:mergeCell ref="B41:AX42"/>
    <x:mergeCell ref="B44:I44"/>
    <x:mergeCell ref="J44:AI44"/>
    <x:mergeCell ref="AJ44:AX44"/>
    <x:mergeCell ref="B45:I45"/>
    <x:mergeCell ref="J45:AI45"/>
    <x:mergeCell ref="AJ45:AX45"/>
    <x:mergeCell ref="B46:I46"/>
    <x:mergeCell ref="J46:AI46"/>
    <x:mergeCell ref="AJ46:AX46"/>
    <x:mergeCell ref="B47:I47"/>
    <x:mergeCell ref="J47:AI47"/>
    <x:mergeCell ref="AJ47:AX47"/>
    <x:mergeCell ref="B48:I48"/>
    <x:mergeCell ref="J48:AI48"/>
    <x:mergeCell ref="AJ48:AX48"/>
    <x:mergeCell ref="B49:I49"/>
    <x:mergeCell ref="J49:AI49"/>
    <x:mergeCell ref="AJ49:AX49"/>
    <x:mergeCell ref="B50:I50"/>
    <x:mergeCell ref="J50:AI50"/>
    <x:mergeCell ref="AJ50:AX50"/>
    <x:mergeCell ref="B51:I51"/>
    <x:mergeCell ref="J51:AI51"/>
    <x:mergeCell ref="AJ51:AX51"/>
    <x:mergeCell ref="B52:I52"/>
    <x:mergeCell ref="J52:AI52"/>
    <x:mergeCell ref="AJ52:AX52"/>
    <x:mergeCell ref="B53:I53"/>
    <x:mergeCell ref="J53:AI53"/>
    <x:mergeCell ref="AJ53:AX53"/>
    <x:mergeCell ref="B55:AX56"/>
    <x:mergeCell ref="B58:I59"/>
    <x:mergeCell ref="J58:AI59"/>
    <x:mergeCell ref="AJ58:AX59"/>
    <x:mergeCell ref="B60:I61"/>
    <x:mergeCell ref="J60:AI61"/>
    <x:mergeCell ref="AJ60:AX61"/>
    <x:mergeCell ref="B62:I63"/>
    <x:mergeCell ref="J62:AI63"/>
    <x:mergeCell ref="AJ62:AX63"/>
    <x:mergeCell ref="B64:I65"/>
    <x:mergeCell ref="J64:AI65"/>
    <x:mergeCell ref="AJ64:AX65"/>
    <x:mergeCell ref="B66:I67"/>
    <x:mergeCell ref="J66:AI67"/>
    <x:mergeCell ref="AJ66:AX67"/>
    <x:mergeCell ref="B68:I69"/>
    <x:mergeCell ref="J68:AI69"/>
    <x:mergeCell ref="AJ68:AX69"/>
    <x:mergeCell ref="B70:I71"/>
    <x:mergeCell ref="J70:AI71"/>
    <x:mergeCell ref="AJ70:AX71"/>
    <x:mergeCell ref="B72:I73"/>
    <x:mergeCell ref="J72:AI73"/>
    <x:mergeCell ref="AJ72:AX73"/>
    <x:mergeCell ref="B74:I75"/>
    <x:mergeCell ref="J74:AI75"/>
    <x:mergeCell ref="AJ74:AX75"/>
    <x:mergeCell ref="B80:AX87"/>
  </x:mergeCells>
  <x:pageMargins left="0.7" right="0.7" top="0.75" bottom="0.75" header="0.3" footer="0.3"/>
  <x:drawing xmlns:r="http://schemas.openxmlformats.org/officeDocument/2006/relationships" r:id="R31870d429813428e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</x:cols>
  <x:sheetData>
    <x:row r="1">
      <x:c r="A1" s="1325" t="str">
        <x:v>09 画像・OCR検証</x:v>
      </x:c>
      <x:c r="B1" s="1326"/>
      <x:c r="C1" s="1326"/>
      <x:c r="D1" s="1326"/>
      <x:c r="E1" s="1326"/>
      <x:c r="F1" s="1326"/>
      <x:c r="G1" s="1326"/>
      <x:c r="H1" s="1326"/>
      <x:c r="I1" s="1326"/>
      <x:c r="J1" s="1326"/>
      <x:c r="K1" s="1326"/>
      <x:c r="L1" s="1326"/>
      <x:c r="M1" s="1326"/>
      <x:c r="N1" s="1326"/>
      <x:c r="O1" s="1326"/>
      <x:c r="P1" s="1326"/>
      <x:c r="Q1" s="1326"/>
      <x:c r="R1" s="1326"/>
      <x:c r="S1" s="1326"/>
      <x:c r="T1" s="1326"/>
      <x:c r="U1" s="1326"/>
      <x:c r="V1" s="1326"/>
      <x:c r="W1" s="1326"/>
      <x:c r="X1" s="1326"/>
      <x:c r="Y1" s="1326"/>
      <x:c r="Z1" s="1326"/>
      <x:c r="AA1" s="1326"/>
      <x:c r="AB1" s="1326"/>
      <x:c r="AC1" s="1326"/>
      <x:c r="AD1" s="1326"/>
      <x:c r="AE1" s="1326"/>
      <x:c r="AF1" s="1326"/>
      <x:c r="AG1" s="1326"/>
      <x:c r="AH1" s="1326"/>
      <x:c r="AI1" s="1326"/>
      <x:c r="AJ1" s="1326"/>
      <x:c r="AK1" s="1326"/>
      <x:c r="AL1" s="1326"/>
      <x:c r="AM1" s="1326"/>
      <x:c r="AN1" s="1326"/>
      <x:c r="AO1" s="1326"/>
      <x:c r="AP1" s="1326"/>
      <x:c r="AQ1" s="1326"/>
      <x:c r="AR1" s="1326"/>
      <x:c r="AS1" s="1326"/>
      <x:c r="AT1" s="1326"/>
      <x:c r="AU1" s="1326"/>
      <x:c r="AV1" s="1326"/>
      <x:c r="AW1" s="1326"/>
      <x:c r="AX1" s="1326"/>
      <x:c r="AY1" s="1326"/>
      <x:c r="AZ1" s="1327"/>
    </x:row>
    <x:row r="2">
      <x:c r="A2" s="1328"/>
      <x:c r="B2" s="1329"/>
      <x:c r="C2" s="1329"/>
      <x:c r="D2" s="1329"/>
      <x:c r="E2" s="1329"/>
      <x:c r="F2" s="1329"/>
      <x:c r="G2" s="1329"/>
      <x:c r="H2" s="1329"/>
      <x:c r="I2" s="1329"/>
      <x:c r="J2" s="1329"/>
      <x:c r="K2" s="1329"/>
      <x:c r="L2" s="1329"/>
      <x:c r="M2" s="1329"/>
      <x:c r="N2" s="1329"/>
      <x:c r="O2" s="1329"/>
      <x:c r="P2" s="1329"/>
      <x:c r="Q2" s="1329"/>
      <x:c r="R2" s="1329"/>
      <x:c r="S2" s="1329"/>
      <x:c r="T2" s="1329"/>
      <x:c r="U2" s="1329"/>
      <x:c r="V2" s="1329"/>
      <x:c r="W2" s="1329"/>
      <x:c r="X2" s="1329"/>
      <x:c r="Y2" s="1329"/>
      <x:c r="Z2" s="1329"/>
      <x:c r="AA2" s="1329"/>
      <x:c r="AB2" s="1329"/>
      <x:c r="AC2" s="1329"/>
      <x:c r="AD2" s="1329"/>
      <x:c r="AE2" s="1329"/>
      <x:c r="AF2" s="1329"/>
      <x:c r="AG2" s="1329"/>
      <x:c r="AH2" s="1329"/>
      <x:c r="AI2" s="1329"/>
      <x:c r="AJ2" s="1329"/>
      <x:c r="AK2" s="1329"/>
      <x:c r="AL2" s="1329"/>
      <x:c r="AM2" s="1329"/>
      <x:c r="AN2" s="1329"/>
      <x:c r="AO2" s="1329"/>
      <x:c r="AP2" s="1329"/>
      <x:c r="AQ2" s="1329"/>
      <x:c r="AR2" s="1329"/>
      <x:c r="AS2" s="1329"/>
      <x:c r="AT2" s="1329"/>
      <x:c r="AU2" s="1329"/>
      <x:c r="AV2" s="1329"/>
      <x:c r="AW2" s="1329"/>
      <x:c r="AX2" s="1329"/>
      <x:c r="AY2" s="1329"/>
      <x:c r="AZ2" s="1330"/>
    </x:row>
    <x:row r="3">
      <x:c r="A3" s="1334" t="str">
        <x:v>埋め込み画像の保持と、OCR有効時の画像内文字抽出を確認する。OCR固有文字列はセル本文には記載しない。</x:v>
      </x:c>
      <x:c r="B3" s="1334"/>
      <x:c r="C3" s="1334"/>
      <x:c r="D3" s="1334"/>
      <x:c r="E3" s="1334"/>
      <x:c r="F3" s="1334"/>
      <x:c r="G3" s="1334"/>
      <x:c r="H3" s="1334"/>
      <x:c r="I3" s="1334"/>
      <x:c r="J3" s="1334"/>
      <x:c r="K3" s="1334"/>
      <x:c r="L3" s="1334"/>
      <x:c r="M3" s="1334"/>
      <x:c r="N3" s="1334"/>
      <x:c r="O3" s="1334"/>
      <x:c r="P3" s="1334"/>
      <x:c r="Q3" s="1334"/>
      <x:c r="R3" s="1334"/>
      <x:c r="S3" s="1334"/>
      <x:c r="T3" s="1334"/>
      <x:c r="U3" s="1334"/>
      <x:c r="V3" s="1334"/>
      <x:c r="W3" s="1334"/>
      <x:c r="X3" s="1334"/>
      <x:c r="Y3" s="1334"/>
      <x:c r="Z3" s="1334"/>
      <x:c r="AA3" s="1334"/>
      <x:c r="AB3" s="1334"/>
      <x:c r="AC3" s="1334"/>
      <x:c r="AD3" s="1334"/>
      <x:c r="AE3" s="1334"/>
      <x:c r="AF3" s="1334"/>
      <x:c r="AG3" s="1334"/>
      <x:c r="AH3" s="1334"/>
      <x:c r="AI3" s="1334"/>
      <x:c r="AJ3" s="1334"/>
      <x:c r="AK3" s="1334"/>
      <x:c r="AL3" s="1334"/>
      <x:c r="AM3" s="1334"/>
      <x:c r="AN3" s="1334"/>
      <x:c r="AO3" s="1334"/>
      <x:c r="AP3" s="1334"/>
      <x:c r="AQ3" s="1334"/>
      <x:c r="AR3" s="1334"/>
      <x:c r="AS3" s="1334"/>
      <x:c r="AT3" s="1334"/>
      <x:c r="AU3" s="1334"/>
      <x:c r="AV3" s="1334"/>
      <x:c r="AW3" s="1334"/>
      <x:c r="AX3" s="1334"/>
      <x:c r="AY3" s="1334"/>
      <x:c r="AZ3" s="1334"/>
    </x:row>
    <x:row r="4">
      <x:c r="A4" s="1338" t="str">
        <x:v>文書ID: EXPS-DES-09</x:v>
      </x:c>
      <x:c r="B4" s="1338"/>
      <x:c r="C4" s="1338"/>
      <x:c r="D4" s="1338"/>
      <x:c r="E4" s="1338"/>
      <x:c r="F4" s="1338"/>
      <x:c r="G4" s="1338"/>
      <x:c r="H4" s="1338"/>
      <x:c r="I4" s="1338"/>
      <x:c r="J4" s="1338"/>
      <x:c r="K4" s="1338"/>
      <x:c r="L4" s="1338"/>
      <x:c r="M4" s="1338" t="str">
        <x:v>版: 1.0</x:v>
      </x:c>
      <x:c r="N4" s="1338"/>
      <x:c r="O4" s="1338"/>
      <x:c r="P4" s="1338"/>
      <x:c r="Q4" s="1338"/>
      <x:c r="R4" s="1338"/>
      <x:c r="S4" s="1338" t="str">
        <x:v>状態: 検証用</x:v>
      </x:c>
      <x:c r="T4" s="1338"/>
      <x:c r="U4" s="1338"/>
      <x:c r="V4" s="1338"/>
      <x:c r="W4" s="1338"/>
      <x:c r="X4" s="1338"/>
      <x:c r="Y4" s="1338"/>
      <x:c r="Z4" s="1338"/>
      <x:c r="AA4" s="1338"/>
      <x:c r="AB4" s="1338"/>
      <x:c r="AC4" s="1338"/>
      <x:c r="AD4" s="1338"/>
      <x:c r="AE4" s="1338"/>
      <x:c r="AF4" s="1338" t="str">
        <x:v>主管: QA</x:v>
      </x:c>
      <x:c r="AG4" s="1338"/>
      <x:c r="AH4" s="1338"/>
      <x:c r="AI4" s="1338"/>
      <x:c r="AJ4" s="1338"/>
      <x:c r="AK4" s="1338"/>
      <x:c r="AL4" s="1338"/>
      <x:c r="AM4" s="1338"/>
      <x:c r="AN4" s="1338"/>
      <x:c r="AO4" s="1338"/>
      <x:c r="AP4" s="1338"/>
      <x:c r="AQ4" s="1338"/>
      <x:c r="AR4" s="1338" t="str">
        <x:v>更新: 2026-08-23</x:v>
      </x:c>
      <x:c r="AS4" s="1338"/>
      <x:c r="AT4" s="1338"/>
      <x:c r="AU4" s="1338"/>
      <x:c r="AV4" s="1338"/>
      <x:c r="AW4" s="1338"/>
      <x:c r="AX4" s="1338"/>
      <x:c r="AY4" s="1338"/>
      <x:c r="AZ4" s="1338"/>
    </x:row>
    <x:row r="5" ht="18" customHeight="1">
      <x:c r="A5" s="1316"/>
      <x:c r="B5" s="1347" t="str">
        <x:v>9.1 文字なし画像（画像保持）</x:v>
      </x:c>
      <x:c r="C5" s="1348"/>
      <x:c r="D5" s="1348"/>
      <x:c r="E5" s="1348"/>
      <x:c r="F5" s="1348"/>
      <x:c r="G5" s="1348"/>
      <x:c r="H5" s="1348"/>
      <x:c r="I5" s="1348"/>
      <x:c r="J5" s="1348"/>
      <x:c r="K5" s="1348"/>
      <x:c r="L5" s="1348"/>
      <x:c r="M5" s="1348"/>
      <x:c r="N5" s="1348"/>
      <x:c r="O5" s="1348"/>
      <x:c r="P5" s="1348"/>
      <x:c r="Q5" s="1348"/>
      <x:c r="R5" s="1348"/>
      <x:c r="S5" s="1348"/>
      <x:c r="T5" s="1348"/>
      <x:c r="U5" s="1348"/>
      <x:c r="V5" s="1348"/>
      <x:c r="W5" s="1348"/>
      <x:c r="X5" s="1348"/>
      <x:c r="Y5" s="1349"/>
      <x:c r="Z5" s="1316"/>
      <x:c r="AA5" s="1316"/>
      <x:c r="AB5" s="1347" t="str">
        <x:v>9.2 日本語文字画像（OCR）</x:v>
      </x:c>
      <x:c r="AC5" s="1348"/>
      <x:c r="AD5" s="1348"/>
      <x:c r="AE5" s="1348"/>
      <x:c r="AF5" s="1348"/>
      <x:c r="AG5" s="1348"/>
      <x:c r="AH5" s="1348"/>
      <x:c r="AI5" s="1348"/>
      <x:c r="AJ5" s="1348"/>
      <x:c r="AK5" s="1348"/>
      <x:c r="AL5" s="1348"/>
      <x:c r="AM5" s="1348"/>
      <x:c r="AN5" s="1348"/>
      <x:c r="AO5" s="1348"/>
      <x:c r="AP5" s="1348"/>
      <x:c r="AQ5" s="1348"/>
      <x:c r="AR5" s="1348"/>
      <x:c r="AS5" s="1348"/>
      <x:c r="AT5" s="1348"/>
      <x:c r="AU5" s="1348"/>
      <x:c r="AV5" s="1348"/>
      <x:c r="AW5" s="1348"/>
      <x:c r="AX5" s="1348"/>
      <x:c r="AY5" s="1349"/>
      <x:c r="AZ5" s="1316"/>
    </x:row>
    <x:row r="6" ht="18" customHeight="1">
      <x:c r="A6" s="1316"/>
      <x:c r="B6" s="1350"/>
      <x:c r="C6" s="1351"/>
      <x:c r="D6" s="1351"/>
      <x:c r="E6" s="1351"/>
      <x:c r="F6" s="1351"/>
      <x:c r="G6" s="1351"/>
      <x:c r="H6" s="1351"/>
      <x:c r="I6" s="1351"/>
      <x:c r="J6" s="1351"/>
      <x:c r="K6" s="1351"/>
      <x:c r="L6" s="1351"/>
      <x:c r="M6" s="1351"/>
      <x:c r="N6" s="1351"/>
      <x:c r="O6" s="1351"/>
      <x:c r="P6" s="1351"/>
      <x:c r="Q6" s="1351"/>
      <x:c r="R6" s="1351"/>
      <x:c r="S6" s="1351"/>
      <x:c r="T6" s="1351"/>
      <x:c r="U6" s="1351"/>
      <x:c r="V6" s="1351"/>
      <x:c r="W6" s="1351"/>
      <x:c r="X6" s="1351"/>
      <x:c r="Y6" s="1352"/>
      <x:c r="Z6" s="1316"/>
      <x:c r="AA6" s="1316"/>
      <x:c r="AB6" s="1350"/>
      <x:c r="AC6" s="1351"/>
      <x:c r="AD6" s="1351"/>
      <x:c r="AE6" s="1351"/>
      <x:c r="AF6" s="1351"/>
      <x:c r="AG6" s="1351"/>
      <x:c r="AH6" s="1351"/>
      <x:c r="AI6" s="1351"/>
      <x:c r="AJ6" s="1351"/>
      <x:c r="AK6" s="1351"/>
      <x:c r="AL6" s="1351"/>
      <x:c r="AM6" s="1351"/>
      <x:c r="AN6" s="1351"/>
      <x:c r="AO6" s="1351"/>
      <x:c r="AP6" s="1351"/>
      <x:c r="AQ6" s="1351"/>
      <x:c r="AR6" s="1351"/>
      <x:c r="AS6" s="1351"/>
      <x:c r="AT6" s="1351"/>
      <x:c r="AU6" s="1351"/>
      <x:c r="AV6" s="1351"/>
      <x:c r="AW6" s="1351"/>
      <x:c r="AX6" s="1351"/>
      <x:c r="AY6" s="1352"/>
      <x:c r="AZ6" s="1316"/>
    </x:row>
    <x:row r="7" ht="18" customHeight="1">
      <x:c r="A7" s="1316"/>
      <x:c r="B7" s="1316"/>
      <x:c r="C7" s="1316"/>
      <x:c r="D7" s="1316"/>
      <x:c r="E7" s="1316"/>
      <x:c r="F7" s="1316"/>
      <x:c r="G7" s="1316"/>
      <x:c r="H7" s="1316"/>
      <x:c r="I7" s="1316"/>
      <x:c r="J7" s="1316"/>
      <x:c r="K7" s="1316"/>
      <x:c r="L7" s="1316"/>
      <x:c r="M7" s="1316"/>
      <x:c r="N7" s="1316"/>
      <x:c r="O7" s="1316"/>
      <x:c r="P7" s="1316"/>
      <x:c r="Q7" s="1316"/>
      <x:c r="R7" s="1316"/>
      <x:c r="S7" s="1316"/>
      <x:c r="T7" s="1316"/>
      <x:c r="U7" s="1316"/>
      <x:c r="V7" s="1316"/>
      <x:c r="W7" s="1316"/>
      <x:c r="X7" s="1316"/>
      <x:c r="Y7" s="1316"/>
      <x:c r="Z7" s="1316"/>
      <x:c r="AA7" s="1316"/>
      <x:c r="AB7" s="1316"/>
      <x:c r="AC7" s="1316"/>
      <x:c r="AD7" s="1316"/>
      <x:c r="AE7" s="1316"/>
      <x:c r="AF7" s="1316"/>
      <x:c r="AG7" s="1316"/>
      <x:c r="AH7" s="1316"/>
      <x:c r="AI7" s="1316"/>
      <x:c r="AJ7" s="1316"/>
      <x:c r="AK7" s="1316"/>
      <x:c r="AL7" s="1316"/>
      <x:c r="AM7" s="1316"/>
      <x:c r="AN7" s="1316"/>
      <x:c r="AO7" s="1316"/>
      <x:c r="AP7" s="1316"/>
      <x:c r="AQ7" s="1316"/>
      <x:c r="AR7" s="1316"/>
      <x:c r="AS7" s="1316"/>
      <x:c r="AT7" s="1316"/>
      <x:c r="AU7" s="1316"/>
      <x:c r="AV7" s="1316"/>
      <x:c r="AW7" s="1316"/>
      <x:c r="AX7" s="1316"/>
      <x:c r="AY7" s="1316"/>
      <x:c r="AZ7" s="1316"/>
    </x:row>
    <x:row r="8" ht="18" customHeight="1">
      <x:c r="A8" s="1316"/>
      <x:c r="B8" s="1316"/>
      <x:c r="C8" s="1316"/>
      <x:c r="D8" s="1316"/>
      <x:c r="E8" s="1316"/>
      <x:c r="F8" s="1316"/>
      <x:c r="G8" s="1316"/>
      <x:c r="H8" s="1316"/>
      <x:c r="I8" s="1316"/>
      <x:c r="J8" s="1316"/>
      <x:c r="K8" s="1316"/>
      <x:c r="L8" s="1316"/>
      <x:c r="M8" s="1316"/>
      <x:c r="N8" s="1316"/>
      <x:c r="O8" s="1316"/>
      <x:c r="P8" s="1316"/>
      <x:c r="Q8" s="1316"/>
      <x:c r="R8" s="1316"/>
      <x:c r="S8" s="1316"/>
      <x:c r="T8" s="1316"/>
      <x:c r="U8" s="1316"/>
      <x:c r="V8" s="1316"/>
      <x:c r="W8" s="1316"/>
      <x:c r="X8" s="1316"/>
      <x:c r="Y8" s="1316"/>
      <x:c r="Z8" s="1316"/>
      <x:c r="AA8" s="1316"/>
      <x:c r="AB8" s="1316"/>
      <x:c r="AC8" s="1316"/>
      <x:c r="AD8" s="1316"/>
      <x:c r="AE8" s="1316"/>
      <x:c r="AF8" s="1316"/>
      <x:c r="AG8" s="1316"/>
      <x:c r="AH8" s="1316"/>
      <x:c r="AI8" s="1316"/>
      <x:c r="AJ8" s="1316"/>
      <x:c r="AK8" s="1316"/>
      <x:c r="AL8" s="1316"/>
      <x:c r="AM8" s="1316"/>
      <x:c r="AN8" s="1316"/>
      <x:c r="AO8" s="1316"/>
      <x:c r="AP8" s="1316"/>
      <x:c r="AQ8" s="1316"/>
      <x:c r="AR8" s="1316"/>
      <x:c r="AS8" s="1316"/>
      <x:c r="AT8" s="1316"/>
      <x:c r="AU8" s="1316"/>
      <x:c r="AV8" s="1316"/>
      <x:c r="AW8" s="1316"/>
      <x:c r="AX8" s="1316"/>
      <x:c r="AY8" s="1316"/>
      <x:c r="AZ8" s="1316"/>
    </x:row>
    <x:row r="9" ht="18" customHeight="1">
      <x:c r="A9" s="1316"/>
      <x:c r="B9" s="1316"/>
      <x:c r="C9" s="1316"/>
      <x:c r="D9" s="1316"/>
      <x:c r="E9" s="1316"/>
      <x:c r="F9" s="1316"/>
      <x:c r="G9" s="1316"/>
      <x:c r="H9" s="1316"/>
      <x:c r="I9" s="1316"/>
      <x:c r="J9" s="1316"/>
      <x:c r="K9" s="1316"/>
      <x:c r="L9" s="1316"/>
      <x:c r="M9" s="1316"/>
      <x:c r="N9" s="1316"/>
      <x:c r="O9" s="1316"/>
      <x:c r="P9" s="1316"/>
      <x:c r="Q9" s="1316"/>
      <x:c r="R9" s="1316"/>
      <x:c r="S9" s="1316"/>
      <x:c r="T9" s="1316"/>
      <x:c r="U9" s="1316"/>
      <x:c r="V9" s="1316"/>
      <x:c r="W9" s="1316"/>
      <x:c r="X9" s="1316"/>
      <x:c r="Y9" s="1316"/>
      <x:c r="Z9" s="1316"/>
      <x:c r="AA9" s="1316"/>
      <x:c r="AB9" s="1316"/>
      <x:c r="AC9" s="1316"/>
      <x:c r="AD9" s="1316"/>
      <x:c r="AE9" s="1316"/>
      <x:c r="AF9" s="1316"/>
      <x:c r="AG9" s="1316"/>
      <x:c r="AH9" s="1316"/>
      <x:c r="AI9" s="1316"/>
      <x:c r="AJ9" s="1316"/>
      <x:c r="AK9" s="1316"/>
      <x:c r="AL9" s="1316"/>
      <x:c r="AM9" s="1316"/>
      <x:c r="AN9" s="1316"/>
      <x:c r="AO9" s="1316"/>
      <x:c r="AP9" s="1316"/>
      <x:c r="AQ9" s="1316"/>
      <x:c r="AR9" s="1316"/>
      <x:c r="AS9" s="1316"/>
      <x:c r="AT9" s="1316"/>
      <x:c r="AU9" s="1316"/>
      <x:c r="AV9" s="1316"/>
      <x:c r="AW9" s="1316"/>
      <x:c r="AX9" s="1316"/>
      <x:c r="AY9" s="1316"/>
      <x:c r="AZ9" s="1316"/>
    </x:row>
    <x:row r="10" ht="18" customHeight="1">
      <x:c r="A10" s="1316"/>
      <x:c r="B10" s="1316"/>
      <x:c r="C10" s="1316"/>
      <x:c r="D10" s="1316"/>
      <x:c r="E10" s="1316"/>
      <x:c r="F10" s="1316"/>
      <x:c r="G10" s="1316"/>
      <x:c r="H10" s="1316"/>
      <x:c r="I10" s="1316"/>
      <x:c r="J10" s="1316"/>
      <x:c r="K10" s="1316"/>
      <x:c r="L10" s="1316"/>
      <x:c r="M10" s="1316"/>
      <x:c r="N10" s="1316"/>
      <x:c r="O10" s="1316"/>
      <x:c r="P10" s="1316"/>
      <x:c r="Q10" s="1316"/>
      <x:c r="R10" s="1316"/>
      <x:c r="S10" s="1316"/>
      <x:c r="T10" s="1316"/>
      <x:c r="U10" s="1316"/>
      <x:c r="V10" s="1316"/>
      <x:c r="W10" s="1316"/>
      <x:c r="X10" s="1316"/>
      <x:c r="Y10" s="1316"/>
      <x:c r="Z10" s="1316"/>
      <x:c r="AA10" s="1316"/>
      <x:c r="AB10" s="1316"/>
      <x:c r="AC10" s="1316"/>
      <x:c r="AD10" s="1316"/>
      <x:c r="AE10" s="1316"/>
      <x:c r="AF10" s="1316"/>
      <x:c r="AG10" s="1316"/>
      <x:c r="AH10" s="1316"/>
      <x:c r="AI10" s="1316"/>
      <x:c r="AJ10" s="1316"/>
      <x:c r="AK10" s="1316"/>
      <x:c r="AL10" s="1316"/>
      <x:c r="AM10" s="1316"/>
      <x:c r="AN10" s="1316"/>
      <x:c r="AO10" s="1316"/>
      <x:c r="AP10" s="1316"/>
      <x:c r="AQ10" s="1316"/>
      <x:c r="AR10" s="1316"/>
      <x:c r="AS10" s="1316"/>
      <x:c r="AT10" s="1316"/>
      <x:c r="AU10" s="1316"/>
      <x:c r="AV10" s="1316"/>
      <x:c r="AW10" s="1316"/>
      <x:c r="AX10" s="1316"/>
      <x:c r="AY10" s="1316"/>
      <x:c r="AZ10" s="1316"/>
    </x:row>
    <x:row r="11" ht="18" customHeight="1">
      <x:c r="A11" s="1316"/>
      <x:c r="B11" s="1316"/>
      <x:c r="C11" s="1316"/>
      <x:c r="D11" s="1316"/>
      <x:c r="E11" s="1316"/>
      <x:c r="F11" s="1316"/>
      <x:c r="G11" s="1316"/>
      <x:c r="H11" s="1316"/>
      <x:c r="I11" s="1316"/>
      <x:c r="J11" s="1316"/>
      <x:c r="K11" s="1316"/>
      <x:c r="L11" s="1316"/>
      <x:c r="M11" s="1316"/>
      <x:c r="N11" s="1316"/>
      <x:c r="O11" s="1316"/>
      <x:c r="P11" s="1316"/>
      <x:c r="Q11" s="1316"/>
      <x:c r="R11" s="1316"/>
      <x:c r="S11" s="1316"/>
      <x:c r="T11" s="1316"/>
      <x:c r="U11" s="1316"/>
      <x:c r="V11" s="1316"/>
      <x:c r="W11" s="1316"/>
      <x:c r="X11" s="1316"/>
      <x:c r="Y11" s="1316"/>
      <x:c r="Z11" s="1316"/>
      <x:c r="AA11" s="1316"/>
      <x:c r="AB11" s="1316"/>
      <x:c r="AC11" s="1316"/>
      <x:c r="AD11" s="1316"/>
      <x:c r="AE11" s="1316"/>
      <x:c r="AF11" s="1316"/>
      <x:c r="AG11" s="1316"/>
      <x:c r="AH11" s="1316"/>
      <x:c r="AI11" s="1316"/>
      <x:c r="AJ11" s="1316"/>
      <x:c r="AK11" s="1316"/>
      <x:c r="AL11" s="1316"/>
      <x:c r="AM11" s="1316"/>
      <x:c r="AN11" s="1316"/>
      <x:c r="AO11" s="1316"/>
      <x:c r="AP11" s="1316"/>
      <x:c r="AQ11" s="1316"/>
      <x:c r="AR11" s="1316"/>
      <x:c r="AS11" s="1316"/>
      <x:c r="AT11" s="1316"/>
      <x:c r="AU11" s="1316"/>
      <x:c r="AV11" s="1316"/>
      <x:c r="AW11" s="1316"/>
      <x:c r="AX11" s="1316"/>
      <x:c r="AY11" s="1316"/>
      <x:c r="AZ11" s="1316"/>
    </x:row>
    <x:row r="12" ht="18" customHeight="1">
      <x:c r="A12" s="1316"/>
      <x:c r="B12" s="1316"/>
      <x:c r="C12" s="1316"/>
      <x:c r="D12" s="1316"/>
      <x:c r="E12" s="1316"/>
      <x:c r="F12" s="1316"/>
      <x:c r="G12" s="1316"/>
      <x:c r="H12" s="1316"/>
      <x:c r="I12" s="1316"/>
      <x:c r="J12" s="1316"/>
      <x:c r="K12" s="1316"/>
      <x:c r="L12" s="1316"/>
      <x:c r="M12" s="1316"/>
      <x:c r="N12" s="1316"/>
      <x:c r="O12" s="1316"/>
      <x:c r="P12" s="1316"/>
      <x:c r="Q12" s="1316"/>
      <x:c r="R12" s="1316"/>
      <x:c r="S12" s="1316"/>
      <x:c r="T12" s="1316"/>
      <x:c r="U12" s="1316"/>
      <x:c r="V12" s="1316"/>
      <x:c r="W12" s="1316"/>
      <x:c r="X12" s="1316"/>
      <x:c r="Y12" s="1316"/>
      <x:c r="Z12" s="1316"/>
      <x:c r="AA12" s="1316"/>
      <x:c r="AB12" s="1316"/>
      <x:c r="AC12" s="1316"/>
      <x:c r="AD12" s="1316"/>
      <x:c r="AE12" s="1316"/>
      <x:c r="AF12" s="1316"/>
      <x:c r="AG12" s="1316"/>
      <x:c r="AH12" s="1316"/>
      <x:c r="AI12" s="1316"/>
      <x:c r="AJ12" s="1316"/>
      <x:c r="AK12" s="1316"/>
      <x:c r="AL12" s="1316"/>
      <x:c r="AM12" s="1316"/>
      <x:c r="AN12" s="1316"/>
      <x:c r="AO12" s="1316"/>
      <x:c r="AP12" s="1316"/>
      <x:c r="AQ12" s="1316"/>
      <x:c r="AR12" s="1316"/>
      <x:c r="AS12" s="1316"/>
      <x:c r="AT12" s="1316"/>
      <x:c r="AU12" s="1316"/>
      <x:c r="AV12" s="1316"/>
      <x:c r="AW12" s="1316"/>
      <x:c r="AX12" s="1316"/>
      <x:c r="AY12" s="1316"/>
      <x:c r="AZ12" s="1316"/>
    </x:row>
    <x:row r="13" ht="18" customHeight="1">
      <x:c r="A13" s="1316"/>
      <x:c r="B13" s="1316"/>
      <x:c r="C13" s="1316"/>
      <x:c r="D13" s="1316"/>
      <x:c r="E13" s="1316"/>
      <x:c r="F13" s="1316"/>
      <x:c r="G13" s="1316"/>
      <x:c r="H13" s="1316"/>
      <x:c r="I13" s="1316"/>
      <x:c r="J13" s="1316"/>
      <x:c r="K13" s="1316"/>
      <x:c r="L13" s="1316"/>
      <x:c r="M13" s="1316"/>
      <x:c r="N13" s="1316"/>
      <x:c r="O13" s="1316"/>
      <x:c r="P13" s="1316"/>
      <x:c r="Q13" s="1316"/>
      <x:c r="R13" s="1316"/>
      <x:c r="S13" s="1316"/>
      <x:c r="T13" s="1316"/>
      <x:c r="U13" s="1316"/>
      <x:c r="V13" s="1316"/>
      <x:c r="W13" s="1316"/>
      <x:c r="X13" s="1316"/>
      <x:c r="Y13" s="1316"/>
      <x:c r="Z13" s="1316"/>
      <x:c r="AA13" s="1316"/>
      <x:c r="AB13" s="1316"/>
      <x:c r="AC13" s="1316"/>
      <x:c r="AD13" s="1316"/>
      <x:c r="AE13" s="1316"/>
      <x:c r="AF13" s="1316"/>
      <x:c r="AG13" s="1316"/>
      <x:c r="AH13" s="1316"/>
      <x:c r="AI13" s="1316"/>
      <x:c r="AJ13" s="1316"/>
      <x:c r="AK13" s="1316"/>
      <x:c r="AL13" s="1316"/>
      <x:c r="AM13" s="1316"/>
      <x:c r="AN13" s="1316"/>
      <x:c r="AO13" s="1316"/>
      <x:c r="AP13" s="1316"/>
      <x:c r="AQ13" s="1316"/>
      <x:c r="AR13" s="1316"/>
      <x:c r="AS13" s="1316"/>
      <x:c r="AT13" s="1316"/>
      <x:c r="AU13" s="1316"/>
      <x:c r="AV13" s="1316"/>
      <x:c r="AW13" s="1316"/>
      <x:c r="AX13" s="1316"/>
      <x:c r="AY13" s="1316"/>
      <x:c r="AZ13" s="1316"/>
    </x:row>
    <x:row r="14" ht="18" customHeight="1">
      <x:c r="A14" s="1316"/>
      <x:c r="B14" s="1316"/>
      <x:c r="C14" s="1316"/>
      <x:c r="D14" s="1316"/>
      <x:c r="E14" s="1316"/>
      <x:c r="F14" s="1316"/>
      <x:c r="G14" s="1316"/>
      <x:c r="H14" s="1316"/>
      <x:c r="I14" s="1316"/>
      <x:c r="J14" s="1316"/>
      <x:c r="K14" s="1316"/>
      <x:c r="L14" s="1316"/>
      <x:c r="M14" s="1316"/>
      <x:c r="N14" s="1316"/>
      <x:c r="O14" s="1316"/>
      <x:c r="P14" s="1316"/>
      <x:c r="Q14" s="1316"/>
      <x:c r="R14" s="1316"/>
      <x:c r="S14" s="1316"/>
      <x:c r="T14" s="1316"/>
      <x:c r="U14" s="1316"/>
      <x:c r="V14" s="1316"/>
      <x:c r="W14" s="1316"/>
      <x:c r="X14" s="1316"/>
      <x:c r="Y14" s="1316"/>
      <x:c r="Z14" s="1316"/>
      <x:c r="AA14" s="1316"/>
      <x:c r="AB14" s="1316"/>
      <x:c r="AC14" s="1316"/>
      <x:c r="AD14" s="1316"/>
      <x:c r="AE14" s="1316"/>
      <x:c r="AF14" s="1316"/>
      <x:c r="AG14" s="1316"/>
      <x:c r="AH14" s="1316"/>
      <x:c r="AI14" s="1316"/>
      <x:c r="AJ14" s="1316"/>
      <x:c r="AK14" s="1316"/>
      <x:c r="AL14" s="1316"/>
      <x:c r="AM14" s="1316"/>
      <x:c r="AN14" s="1316"/>
      <x:c r="AO14" s="1316"/>
      <x:c r="AP14" s="1316"/>
      <x:c r="AQ14" s="1316"/>
      <x:c r="AR14" s="1316"/>
      <x:c r="AS14" s="1316"/>
      <x:c r="AT14" s="1316"/>
      <x:c r="AU14" s="1316"/>
      <x:c r="AV14" s="1316"/>
      <x:c r="AW14" s="1316"/>
      <x:c r="AX14" s="1316"/>
      <x:c r="AY14" s="1316"/>
      <x:c r="AZ14" s="1316"/>
    </x:row>
    <x:row r="15" ht="18" customHeight="1">
      <x:c r="A15" s="1316"/>
      <x:c r="B15" s="1316"/>
      <x:c r="C15" s="1316"/>
      <x:c r="D15" s="1316"/>
      <x:c r="E15" s="1316"/>
      <x:c r="F15" s="1316"/>
      <x:c r="G15" s="1316"/>
      <x:c r="H15" s="1316"/>
      <x:c r="I15" s="1316"/>
      <x:c r="J15" s="1316"/>
      <x:c r="K15" s="1316"/>
      <x:c r="L15" s="1316"/>
      <x:c r="M15" s="1316"/>
      <x:c r="N15" s="1316"/>
      <x:c r="O15" s="1316"/>
      <x:c r="P15" s="1316"/>
      <x:c r="Q15" s="1316"/>
      <x:c r="R15" s="1316"/>
      <x:c r="S15" s="1316"/>
      <x:c r="T15" s="1316"/>
      <x:c r="U15" s="1316"/>
      <x:c r="V15" s="1316"/>
      <x:c r="W15" s="1316"/>
      <x:c r="X15" s="1316"/>
      <x:c r="Y15" s="1316"/>
      <x:c r="Z15" s="1316"/>
      <x:c r="AA15" s="1316"/>
      <x:c r="AB15" s="1316"/>
      <x:c r="AC15" s="1316"/>
      <x:c r="AD15" s="1316"/>
      <x:c r="AE15" s="1316"/>
      <x:c r="AF15" s="1316"/>
      <x:c r="AG15" s="1316"/>
      <x:c r="AH15" s="1316"/>
      <x:c r="AI15" s="1316"/>
      <x:c r="AJ15" s="1316"/>
      <x:c r="AK15" s="1316"/>
      <x:c r="AL15" s="1316"/>
      <x:c r="AM15" s="1316"/>
      <x:c r="AN15" s="1316"/>
      <x:c r="AO15" s="1316"/>
      <x:c r="AP15" s="1316"/>
      <x:c r="AQ15" s="1316"/>
      <x:c r="AR15" s="1316"/>
      <x:c r="AS15" s="1316"/>
      <x:c r="AT15" s="1316"/>
      <x:c r="AU15" s="1316"/>
      <x:c r="AV15" s="1316"/>
      <x:c r="AW15" s="1316"/>
      <x:c r="AX15" s="1316"/>
      <x:c r="AY15" s="1316"/>
      <x:c r="AZ15" s="1316"/>
    </x:row>
    <x:row r="16" ht="18" customHeight="1">
      <x:c r="A16" s="1316"/>
      <x:c r="B16" s="1316"/>
      <x:c r="C16" s="1316"/>
      <x:c r="D16" s="1316"/>
      <x:c r="E16" s="1316"/>
      <x:c r="F16" s="1316"/>
      <x:c r="G16" s="1316"/>
      <x:c r="H16" s="1316"/>
      <x:c r="I16" s="1316"/>
      <x:c r="J16" s="1316"/>
      <x:c r="K16" s="1316"/>
      <x:c r="L16" s="1316"/>
      <x:c r="M16" s="1316"/>
      <x:c r="N16" s="1316"/>
      <x:c r="O16" s="1316"/>
      <x:c r="P16" s="1316"/>
      <x:c r="Q16" s="1316"/>
      <x:c r="R16" s="1316"/>
      <x:c r="S16" s="1316"/>
      <x:c r="T16" s="1316"/>
      <x:c r="U16" s="1316"/>
      <x:c r="V16" s="1316"/>
      <x:c r="W16" s="1316"/>
      <x:c r="X16" s="1316"/>
      <x:c r="Y16" s="1316"/>
      <x:c r="Z16" s="1316"/>
      <x:c r="AA16" s="1316"/>
      <x:c r="AB16" s="1316"/>
      <x:c r="AC16" s="1316"/>
      <x:c r="AD16" s="1316"/>
      <x:c r="AE16" s="1316"/>
      <x:c r="AF16" s="1316"/>
      <x:c r="AG16" s="1316"/>
      <x:c r="AH16" s="1316"/>
      <x:c r="AI16" s="1316"/>
      <x:c r="AJ16" s="1316"/>
      <x:c r="AK16" s="1316"/>
      <x:c r="AL16" s="1316"/>
      <x:c r="AM16" s="1316"/>
      <x:c r="AN16" s="1316"/>
      <x:c r="AO16" s="1316"/>
      <x:c r="AP16" s="1316"/>
      <x:c r="AQ16" s="1316"/>
      <x:c r="AR16" s="1316"/>
      <x:c r="AS16" s="1316"/>
      <x:c r="AT16" s="1316"/>
      <x:c r="AU16" s="1316"/>
      <x:c r="AV16" s="1316"/>
      <x:c r="AW16" s="1316"/>
      <x:c r="AX16" s="1316"/>
      <x:c r="AY16" s="1316"/>
      <x:c r="AZ16" s="1316"/>
    </x:row>
    <x:row r="17" ht="18" customHeight="1">
      <x:c r="A17" s="1316"/>
      <x:c r="B17" s="1316"/>
      <x:c r="C17" s="1316"/>
      <x:c r="D17" s="1316"/>
      <x:c r="E17" s="1316"/>
      <x:c r="F17" s="1316"/>
      <x:c r="G17" s="1316"/>
      <x:c r="H17" s="1316"/>
      <x:c r="I17" s="1316"/>
      <x:c r="J17" s="1316"/>
      <x:c r="K17" s="1316"/>
      <x:c r="L17" s="1316"/>
      <x:c r="M17" s="1316"/>
      <x:c r="N17" s="1316"/>
      <x:c r="O17" s="1316"/>
      <x:c r="P17" s="1316"/>
      <x:c r="Q17" s="1316"/>
      <x:c r="R17" s="1316"/>
      <x:c r="S17" s="1316"/>
      <x:c r="T17" s="1316"/>
      <x:c r="U17" s="1316"/>
      <x:c r="V17" s="1316"/>
      <x:c r="W17" s="1316"/>
      <x:c r="X17" s="1316"/>
      <x:c r="Y17" s="1316"/>
      <x:c r="Z17" s="1316"/>
      <x:c r="AA17" s="1316"/>
      <x:c r="AB17" s="1316"/>
      <x:c r="AC17" s="1316"/>
      <x:c r="AD17" s="1316"/>
      <x:c r="AE17" s="1316"/>
      <x:c r="AF17" s="1316"/>
      <x:c r="AG17" s="1316"/>
      <x:c r="AH17" s="1316"/>
      <x:c r="AI17" s="1316"/>
      <x:c r="AJ17" s="1316"/>
      <x:c r="AK17" s="1316"/>
      <x:c r="AL17" s="1316"/>
      <x:c r="AM17" s="1316"/>
      <x:c r="AN17" s="1316"/>
      <x:c r="AO17" s="1316"/>
      <x:c r="AP17" s="1316"/>
      <x:c r="AQ17" s="1316"/>
      <x:c r="AR17" s="1316"/>
      <x:c r="AS17" s="1316"/>
      <x:c r="AT17" s="1316"/>
      <x:c r="AU17" s="1316"/>
      <x:c r="AV17" s="1316"/>
      <x:c r="AW17" s="1316"/>
      <x:c r="AX17" s="1316"/>
      <x:c r="AY17" s="1316"/>
      <x:c r="AZ17" s="1316"/>
    </x:row>
    <x:row r="18" ht="18" customHeight="1">
      <x:c r="A18" s="1316"/>
      <x:c r="B18" s="1316"/>
      <x:c r="C18" s="1316"/>
      <x:c r="D18" s="1316"/>
      <x:c r="E18" s="1316"/>
      <x:c r="F18" s="1316"/>
      <x:c r="G18" s="1316"/>
      <x:c r="H18" s="1316"/>
      <x:c r="I18" s="1316"/>
      <x:c r="J18" s="1316"/>
      <x:c r="K18" s="1316"/>
      <x:c r="L18" s="1316"/>
      <x:c r="M18" s="1316"/>
      <x:c r="N18" s="1316"/>
      <x:c r="O18" s="1316"/>
      <x:c r="P18" s="1316"/>
      <x:c r="Q18" s="1316"/>
      <x:c r="R18" s="1316"/>
      <x:c r="S18" s="1316"/>
      <x:c r="T18" s="1316"/>
      <x:c r="U18" s="1316"/>
      <x:c r="V18" s="1316"/>
      <x:c r="W18" s="1316"/>
      <x:c r="X18" s="1316"/>
      <x:c r="Y18" s="1316"/>
      <x:c r="Z18" s="1316"/>
      <x:c r="AA18" s="1316"/>
      <x:c r="AB18" s="1316"/>
      <x:c r="AC18" s="1316"/>
      <x:c r="AD18" s="1316"/>
      <x:c r="AE18" s="1316"/>
      <x:c r="AF18" s="1316"/>
      <x:c r="AG18" s="1316"/>
      <x:c r="AH18" s="1316"/>
      <x:c r="AI18" s="1316"/>
      <x:c r="AJ18" s="1316"/>
      <x:c r="AK18" s="1316"/>
      <x:c r="AL18" s="1316"/>
      <x:c r="AM18" s="1316"/>
      <x:c r="AN18" s="1316"/>
      <x:c r="AO18" s="1316"/>
      <x:c r="AP18" s="1316"/>
      <x:c r="AQ18" s="1316"/>
      <x:c r="AR18" s="1316"/>
      <x:c r="AS18" s="1316"/>
      <x:c r="AT18" s="1316"/>
      <x:c r="AU18" s="1316"/>
      <x:c r="AV18" s="1316"/>
      <x:c r="AW18" s="1316"/>
      <x:c r="AX18" s="1316"/>
      <x:c r="AY18" s="1316"/>
      <x:c r="AZ18" s="1316"/>
    </x:row>
    <x:row r="19" ht="18" customHeight="1">
      <x:c r="A19" s="1316"/>
      <x:c r="B19" s="1316"/>
      <x:c r="C19" s="1316"/>
      <x:c r="D19" s="1316"/>
      <x:c r="E19" s="1316"/>
      <x:c r="F19" s="1316"/>
      <x:c r="G19" s="1316"/>
      <x:c r="H19" s="1316"/>
      <x:c r="I19" s="1316"/>
      <x:c r="J19" s="1316"/>
      <x:c r="K19" s="1316"/>
      <x:c r="L19" s="1316"/>
      <x:c r="M19" s="1316"/>
      <x:c r="N19" s="1316"/>
      <x:c r="O19" s="1316"/>
      <x:c r="P19" s="1316"/>
      <x:c r="Q19" s="1316"/>
      <x:c r="R19" s="1316"/>
      <x:c r="S19" s="1316"/>
      <x:c r="T19" s="1316"/>
      <x:c r="U19" s="1316"/>
      <x:c r="V19" s="1316"/>
      <x:c r="W19" s="1316"/>
      <x:c r="X19" s="1316"/>
      <x:c r="Y19" s="1316"/>
      <x:c r="Z19" s="1316"/>
      <x:c r="AA19" s="1316"/>
      <x:c r="AB19" s="1316"/>
      <x:c r="AC19" s="1316"/>
      <x:c r="AD19" s="1316"/>
      <x:c r="AE19" s="1316"/>
      <x:c r="AF19" s="1316"/>
      <x:c r="AG19" s="1316"/>
      <x:c r="AH19" s="1316"/>
      <x:c r="AI19" s="1316"/>
      <x:c r="AJ19" s="1316"/>
      <x:c r="AK19" s="1316"/>
      <x:c r="AL19" s="1316"/>
      <x:c r="AM19" s="1316"/>
      <x:c r="AN19" s="1316"/>
      <x:c r="AO19" s="1316"/>
      <x:c r="AP19" s="1316"/>
      <x:c r="AQ19" s="1316"/>
      <x:c r="AR19" s="1316"/>
      <x:c r="AS19" s="1316"/>
      <x:c r="AT19" s="1316"/>
      <x:c r="AU19" s="1316"/>
      <x:c r="AV19" s="1316"/>
      <x:c r="AW19" s="1316"/>
      <x:c r="AX19" s="1316"/>
      <x:c r="AY19" s="1316"/>
      <x:c r="AZ19" s="1316"/>
    </x:row>
    <x:row r="20" ht="18" customHeight="1">
      <x:c r="A20" s="1316"/>
      <x:c r="B20" s="1316"/>
      <x:c r="C20" s="1316"/>
      <x:c r="D20" s="1316"/>
      <x:c r="E20" s="1316"/>
      <x:c r="F20" s="1316"/>
      <x:c r="G20" s="1316"/>
      <x:c r="H20" s="1316"/>
      <x:c r="I20" s="1316"/>
      <x:c r="J20" s="1316"/>
      <x:c r="K20" s="1316"/>
      <x:c r="L20" s="1316"/>
      <x:c r="M20" s="1316"/>
      <x:c r="N20" s="1316"/>
      <x:c r="O20" s="1316"/>
      <x:c r="P20" s="1316"/>
      <x:c r="Q20" s="1316"/>
      <x:c r="R20" s="1316"/>
      <x:c r="S20" s="1316"/>
      <x:c r="T20" s="1316"/>
      <x:c r="U20" s="1316"/>
      <x:c r="V20" s="1316"/>
      <x:c r="W20" s="1316"/>
      <x:c r="X20" s="1316"/>
      <x:c r="Y20" s="1316"/>
      <x:c r="Z20" s="1316"/>
      <x:c r="AA20" s="1316"/>
      <x:c r="AB20" s="1316"/>
      <x:c r="AC20" s="1316"/>
      <x:c r="AD20" s="1316"/>
      <x:c r="AE20" s="1316"/>
      <x:c r="AF20" s="1316"/>
      <x:c r="AG20" s="1316"/>
      <x:c r="AH20" s="1316"/>
      <x:c r="AI20" s="1316"/>
      <x:c r="AJ20" s="1316"/>
      <x:c r="AK20" s="1316"/>
      <x:c r="AL20" s="1316"/>
      <x:c r="AM20" s="1316"/>
      <x:c r="AN20" s="1316"/>
      <x:c r="AO20" s="1316"/>
      <x:c r="AP20" s="1316"/>
      <x:c r="AQ20" s="1316"/>
      <x:c r="AR20" s="1316"/>
      <x:c r="AS20" s="1316"/>
      <x:c r="AT20" s="1316"/>
      <x:c r="AU20" s="1316"/>
      <x:c r="AV20" s="1316"/>
      <x:c r="AW20" s="1316"/>
      <x:c r="AX20" s="1316"/>
      <x:c r="AY20" s="1316"/>
      <x:c r="AZ20" s="1316"/>
    </x:row>
    <x:row r="21" ht="18" customHeight="1">
      <x:c r="A21" s="1316"/>
      <x:c r="B21" s="1316"/>
      <x:c r="C21" s="1316"/>
      <x:c r="D21" s="1316"/>
      <x:c r="E21" s="1316"/>
      <x:c r="F21" s="1316"/>
      <x:c r="G21" s="1316"/>
      <x:c r="H21" s="1316"/>
      <x:c r="I21" s="1316"/>
      <x:c r="J21" s="1316"/>
      <x:c r="K21" s="1316"/>
      <x:c r="L21" s="1316"/>
      <x:c r="M21" s="1316"/>
      <x:c r="N21" s="1316"/>
      <x:c r="O21" s="1316"/>
      <x:c r="P21" s="1316"/>
      <x:c r="Q21" s="1316"/>
      <x:c r="R21" s="1316"/>
      <x:c r="S21" s="1316"/>
      <x:c r="T21" s="1316"/>
      <x:c r="U21" s="1316"/>
      <x:c r="V21" s="1316"/>
      <x:c r="W21" s="1316"/>
      <x:c r="X21" s="1316"/>
      <x:c r="Y21" s="1316"/>
      <x:c r="Z21" s="1316"/>
      <x:c r="AA21" s="1316"/>
      <x:c r="AB21" s="1316"/>
      <x:c r="AC21" s="1316"/>
      <x:c r="AD21" s="1316"/>
      <x:c r="AE21" s="1316"/>
      <x:c r="AF21" s="1316"/>
      <x:c r="AG21" s="1316"/>
      <x:c r="AH21" s="1316"/>
      <x:c r="AI21" s="1316"/>
      <x:c r="AJ21" s="1316"/>
      <x:c r="AK21" s="1316"/>
      <x:c r="AL21" s="1316"/>
      <x:c r="AM21" s="1316"/>
      <x:c r="AN21" s="1316"/>
      <x:c r="AO21" s="1316"/>
      <x:c r="AP21" s="1316"/>
      <x:c r="AQ21" s="1316"/>
      <x:c r="AR21" s="1316"/>
      <x:c r="AS21" s="1316"/>
      <x:c r="AT21" s="1316"/>
      <x:c r="AU21" s="1316"/>
      <x:c r="AV21" s="1316"/>
      <x:c r="AW21" s="1316"/>
      <x:c r="AX21" s="1316"/>
      <x:c r="AY21" s="1316"/>
      <x:c r="AZ21" s="1316"/>
    </x:row>
    <x:row r="22" ht="18" customHeight="1">
      <x:c r="A22" s="1316"/>
      <x:c r="B22" s="1316"/>
      <x:c r="C22" s="1316"/>
      <x:c r="D22" s="1316"/>
      <x:c r="E22" s="1316"/>
      <x:c r="F22" s="1316"/>
      <x:c r="G22" s="1316"/>
      <x:c r="H22" s="1316"/>
      <x:c r="I22" s="1316"/>
      <x:c r="J22" s="1316"/>
      <x:c r="K22" s="1316"/>
      <x:c r="L22" s="1316"/>
      <x:c r="M22" s="1316"/>
      <x:c r="N22" s="1316"/>
      <x:c r="O22" s="1316"/>
      <x:c r="P22" s="1316"/>
      <x:c r="Q22" s="1316"/>
      <x:c r="R22" s="1316"/>
      <x:c r="S22" s="1316"/>
      <x:c r="T22" s="1316"/>
      <x:c r="U22" s="1316"/>
      <x:c r="V22" s="1316"/>
      <x:c r="W22" s="1316"/>
      <x:c r="X22" s="1316"/>
      <x:c r="Y22" s="1316"/>
      <x:c r="Z22" s="1316"/>
      <x:c r="AA22" s="1316"/>
      <x:c r="AB22" s="1316"/>
      <x:c r="AC22" s="1316"/>
      <x:c r="AD22" s="1316"/>
      <x:c r="AE22" s="1316"/>
      <x:c r="AF22" s="1316"/>
      <x:c r="AG22" s="1316"/>
      <x:c r="AH22" s="1316"/>
      <x:c r="AI22" s="1316"/>
      <x:c r="AJ22" s="1316"/>
      <x:c r="AK22" s="1316"/>
      <x:c r="AL22" s="1316"/>
      <x:c r="AM22" s="1316"/>
      <x:c r="AN22" s="1316"/>
      <x:c r="AO22" s="1316"/>
      <x:c r="AP22" s="1316"/>
      <x:c r="AQ22" s="1316"/>
      <x:c r="AR22" s="1316"/>
      <x:c r="AS22" s="1316"/>
      <x:c r="AT22" s="1316"/>
      <x:c r="AU22" s="1316"/>
      <x:c r="AV22" s="1316"/>
      <x:c r="AW22" s="1316"/>
      <x:c r="AX22" s="1316"/>
      <x:c r="AY22" s="1316"/>
      <x:c r="AZ22" s="1316"/>
    </x:row>
    <x:row r="23" ht="18" customHeight="1">
      <x:c r="A23" s="1316"/>
      <x:c r="B23" s="1316"/>
      <x:c r="C23" s="1316"/>
      <x:c r="D23" s="1316"/>
      <x:c r="E23" s="1316"/>
      <x:c r="F23" s="1316"/>
      <x:c r="G23" s="1316"/>
      <x:c r="H23" s="1316"/>
      <x:c r="I23" s="1316"/>
      <x:c r="J23" s="1316"/>
      <x:c r="K23" s="1316"/>
      <x:c r="L23" s="1316"/>
      <x:c r="M23" s="1316"/>
      <x:c r="N23" s="1316"/>
      <x:c r="O23" s="1316"/>
      <x:c r="P23" s="1316"/>
      <x:c r="Q23" s="1316"/>
      <x:c r="R23" s="1316"/>
      <x:c r="S23" s="1316"/>
      <x:c r="T23" s="1316"/>
      <x:c r="U23" s="1316"/>
      <x:c r="V23" s="1316"/>
      <x:c r="W23" s="1316"/>
      <x:c r="X23" s="1316"/>
      <x:c r="Y23" s="1316"/>
      <x:c r="Z23" s="1316"/>
      <x:c r="AA23" s="1316"/>
      <x:c r="AB23" s="1316"/>
      <x:c r="AC23" s="1316"/>
      <x:c r="AD23" s="1316"/>
      <x:c r="AE23" s="1316"/>
      <x:c r="AF23" s="1316"/>
      <x:c r="AG23" s="1316"/>
      <x:c r="AH23" s="1316"/>
      <x:c r="AI23" s="1316"/>
      <x:c r="AJ23" s="1316"/>
      <x:c r="AK23" s="1316"/>
      <x:c r="AL23" s="1316"/>
      <x:c r="AM23" s="1316"/>
      <x:c r="AN23" s="1316"/>
      <x:c r="AO23" s="1316"/>
      <x:c r="AP23" s="1316"/>
      <x:c r="AQ23" s="1316"/>
      <x:c r="AR23" s="1316"/>
      <x:c r="AS23" s="1316"/>
      <x:c r="AT23" s="1316"/>
      <x:c r="AU23" s="1316"/>
      <x:c r="AV23" s="1316"/>
      <x:c r="AW23" s="1316"/>
      <x:c r="AX23" s="1316"/>
      <x:c r="AY23" s="1316"/>
      <x:c r="AZ23" s="1316"/>
    </x:row>
    <x:row r="24" ht="18" customHeight="1">
      <x:c r="A24" s="1316"/>
      <x:c r="B24" s="1316"/>
      <x:c r="C24" s="1316"/>
      <x:c r="D24" s="1316"/>
      <x:c r="E24" s="1316"/>
      <x:c r="F24" s="1316"/>
      <x:c r="G24" s="1316"/>
      <x:c r="H24" s="1316"/>
      <x:c r="I24" s="1316"/>
      <x:c r="J24" s="1316"/>
      <x:c r="K24" s="1316"/>
      <x:c r="L24" s="1316"/>
      <x:c r="M24" s="1316"/>
      <x:c r="N24" s="1316"/>
      <x:c r="O24" s="1316"/>
      <x:c r="P24" s="1316"/>
      <x:c r="Q24" s="1316"/>
      <x:c r="R24" s="1316"/>
      <x:c r="S24" s="1316"/>
      <x:c r="T24" s="1316"/>
      <x:c r="U24" s="1316"/>
      <x:c r="V24" s="1316"/>
      <x:c r="W24" s="1316"/>
      <x:c r="X24" s="1316"/>
      <x:c r="Y24" s="1316"/>
      <x:c r="Z24" s="1316"/>
      <x:c r="AA24" s="1316"/>
      <x:c r="AB24" s="1316"/>
      <x:c r="AC24" s="1316"/>
      <x:c r="AD24" s="1316"/>
      <x:c r="AE24" s="1316"/>
      <x:c r="AF24" s="1316"/>
      <x:c r="AG24" s="1316"/>
      <x:c r="AH24" s="1316"/>
      <x:c r="AI24" s="1316"/>
      <x:c r="AJ24" s="1316"/>
      <x:c r="AK24" s="1316"/>
      <x:c r="AL24" s="1316"/>
      <x:c r="AM24" s="1316"/>
      <x:c r="AN24" s="1316"/>
      <x:c r="AO24" s="1316"/>
      <x:c r="AP24" s="1316"/>
      <x:c r="AQ24" s="1316"/>
      <x:c r="AR24" s="1316"/>
      <x:c r="AS24" s="1316"/>
      <x:c r="AT24" s="1316"/>
      <x:c r="AU24" s="1316"/>
      <x:c r="AV24" s="1316"/>
      <x:c r="AW24" s="1316"/>
      <x:c r="AX24" s="1316"/>
      <x:c r="AY24" s="1316"/>
      <x:c r="AZ24" s="1316"/>
    </x:row>
    <x:row r="25" ht="18" customHeight="1">
      <x:c r="A25" s="1316"/>
      <x:c r="B25" s="1316"/>
      <x:c r="C25" s="1316"/>
      <x:c r="D25" s="1316"/>
      <x:c r="E25" s="1316"/>
      <x:c r="F25" s="1316"/>
      <x:c r="G25" s="1316"/>
      <x:c r="H25" s="1316"/>
      <x:c r="I25" s="1316"/>
      <x:c r="J25" s="1316"/>
      <x:c r="K25" s="1316"/>
      <x:c r="L25" s="1316"/>
      <x:c r="M25" s="1316"/>
      <x:c r="N25" s="1316"/>
      <x:c r="O25" s="1316"/>
      <x:c r="P25" s="1316"/>
      <x:c r="Q25" s="1316"/>
      <x:c r="R25" s="1316"/>
      <x:c r="S25" s="1316"/>
      <x:c r="T25" s="1316"/>
      <x:c r="U25" s="1316"/>
      <x:c r="V25" s="1316"/>
      <x:c r="W25" s="1316"/>
      <x:c r="X25" s="1316"/>
      <x:c r="Y25" s="1316"/>
      <x:c r="Z25" s="1316"/>
      <x:c r="AA25" s="1316"/>
      <x:c r="AB25" s="1316"/>
      <x:c r="AC25" s="1316"/>
      <x:c r="AD25" s="1316"/>
      <x:c r="AE25" s="1316"/>
      <x:c r="AF25" s="1316"/>
      <x:c r="AG25" s="1316"/>
      <x:c r="AH25" s="1316"/>
      <x:c r="AI25" s="1316"/>
      <x:c r="AJ25" s="1316"/>
      <x:c r="AK25" s="1316"/>
      <x:c r="AL25" s="1316"/>
      <x:c r="AM25" s="1316"/>
      <x:c r="AN25" s="1316"/>
      <x:c r="AO25" s="1316"/>
      <x:c r="AP25" s="1316"/>
      <x:c r="AQ25" s="1316"/>
      <x:c r="AR25" s="1316"/>
      <x:c r="AS25" s="1316"/>
      <x:c r="AT25" s="1316"/>
      <x:c r="AU25" s="1316"/>
      <x:c r="AV25" s="1316"/>
      <x:c r="AW25" s="1316"/>
      <x:c r="AX25" s="1316"/>
      <x:c r="AY25" s="1316"/>
      <x:c r="AZ25" s="1316"/>
    </x:row>
    <x:row r="26" ht="18" customHeight="1">
      <x:c r="A26" s="1316"/>
      <x:c r="B26" s="1316"/>
      <x:c r="C26" s="1316"/>
      <x:c r="D26" s="1316"/>
      <x:c r="E26" s="1316"/>
      <x:c r="F26" s="1316"/>
      <x:c r="G26" s="1316"/>
      <x:c r="H26" s="1316"/>
      <x:c r="I26" s="1316"/>
      <x:c r="J26" s="1316"/>
      <x:c r="K26" s="1316"/>
      <x:c r="L26" s="1316"/>
      <x:c r="M26" s="1316"/>
      <x:c r="N26" s="1316"/>
      <x:c r="O26" s="1316"/>
      <x:c r="P26" s="1316"/>
      <x:c r="Q26" s="1316"/>
      <x:c r="R26" s="1316"/>
      <x:c r="S26" s="1316"/>
      <x:c r="T26" s="1316"/>
      <x:c r="U26" s="1316"/>
      <x:c r="V26" s="1316"/>
      <x:c r="W26" s="1316"/>
      <x:c r="X26" s="1316"/>
      <x:c r="Y26" s="1316"/>
      <x:c r="Z26" s="1316"/>
      <x:c r="AA26" s="1316"/>
      <x:c r="AB26" s="1316"/>
      <x:c r="AC26" s="1316"/>
      <x:c r="AD26" s="1316"/>
      <x:c r="AE26" s="1316"/>
      <x:c r="AF26" s="1316"/>
      <x:c r="AG26" s="1316"/>
      <x:c r="AH26" s="1316"/>
      <x:c r="AI26" s="1316"/>
      <x:c r="AJ26" s="1316"/>
      <x:c r="AK26" s="1316"/>
      <x:c r="AL26" s="1316"/>
      <x:c r="AM26" s="1316"/>
      <x:c r="AN26" s="1316"/>
      <x:c r="AO26" s="1316"/>
      <x:c r="AP26" s="1316"/>
      <x:c r="AQ26" s="1316"/>
      <x:c r="AR26" s="1316"/>
      <x:c r="AS26" s="1316"/>
      <x:c r="AT26" s="1316"/>
      <x:c r="AU26" s="1316"/>
      <x:c r="AV26" s="1316"/>
      <x:c r="AW26" s="1316"/>
      <x:c r="AX26" s="1316"/>
      <x:c r="AY26" s="1316"/>
      <x:c r="AZ26" s="1316"/>
    </x:row>
    <x:row r="27" ht="18" customHeight="1">
      <x:c r="A27" s="1316"/>
      <x:c r="B27" s="1316"/>
      <x:c r="C27" s="1316"/>
      <x:c r="D27" s="1316"/>
      <x:c r="E27" s="1316"/>
      <x:c r="F27" s="1316"/>
      <x:c r="G27" s="1316"/>
      <x:c r="H27" s="1316"/>
      <x:c r="I27" s="1316"/>
      <x:c r="J27" s="1316"/>
      <x:c r="K27" s="1316"/>
      <x:c r="L27" s="1316"/>
      <x:c r="M27" s="1316"/>
      <x:c r="N27" s="1316"/>
      <x:c r="O27" s="1316"/>
      <x:c r="P27" s="1316"/>
      <x:c r="Q27" s="1316"/>
      <x:c r="R27" s="1316"/>
      <x:c r="S27" s="1316"/>
      <x:c r="T27" s="1316"/>
      <x:c r="U27" s="1316"/>
      <x:c r="V27" s="1316"/>
      <x:c r="W27" s="1316"/>
      <x:c r="X27" s="1316"/>
      <x:c r="Y27" s="1316"/>
      <x:c r="Z27" s="1316"/>
      <x:c r="AA27" s="1316"/>
      <x:c r="AB27" s="1316"/>
      <x:c r="AC27" s="1316"/>
      <x:c r="AD27" s="1316"/>
      <x:c r="AE27" s="1316"/>
      <x:c r="AF27" s="1316"/>
      <x:c r="AG27" s="1316"/>
      <x:c r="AH27" s="1316"/>
      <x:c r="AI27" s="1316"/>
      <x:c r="AJ27" s="1316"/>
      <x:c r="AK27" s="1316"/>
      <x:c r="AL27" s="1316"/>
      <x:c r="AM27" s="1316"/>
      <x:c r="AN27" s="1316"/>
      <x:c r="AO27" s="1316"/>
      <x:c r="AP27" s="1316"/>
      <x:c r="AQ27" s="1316"/>
      <x:c r="AR27" s="1316"/>
      <x:c r="AS27" s="1316"/>
      <x:c r="AT27" s="1316"/>
      <x:c r="AU27" s="1316"/>
      <x:c r="AV27" s="1316"/>
      <x:c r="AW27" s="1316"/>
      <x:c r="AX27" s="1316"/>
      <x:c r="AY27" s="1316"/>
      <x:c r="AZ27" s="1316"/>
    </x:row>
    <x:row r="28" ht="22" customHeight="1">
      <x:c r="A28" s="1316"/>
      <x:c r="B28" s="1356" t="str">
        <x:v>IMG-01 / 文字を含まないPNG。Markdownで画像参照または画像欠落の診断を確認する。</x:v>
      </x:c>
      <x:c r="C28" s="1356"/>
      <x:c r="D28" s="1356"/>
      <x:c r="E28" s="1356"/>
      <x:c r="F28" s="1356"/>
      <x:c r="G28" s="1356"/>
      <x:c r="H28" s="1356"/>
      <x:c r="I28" s="1356"/>
      <x:c r="J28" s="1356"/>
      <x:c r="K28" s="1356"/>
      <x:c r="L28" s="1356"/>
      <x:c r="M28" s="1356"/>
      <x:c r="N28" s="1356"/>
      <x:c r="O28" s="1356"/>
      <x:c r="P28" s="1356"/>
      <x:c r="Q28" s="1356"/>
      <x:c r="R28" s="1356"/>
      <x:c r="S28" s="1356"/>
      <x:c r="T28" s="1356"/>
      <x:c r="U28" s="1356"/>
      <x:c r="V28" s="1356"/>
      <x:c r="W28" s="1356"/>
      <x:c r="X28" s="1356"/>
      <x:c r="Y28" s="1356"/>
      <x:c r="Z28" s="1316"/>
      <x:c r="AA28" s="1316"/>
      <x:c r="AB28" s="1356" t="str">
        <x:v>IMG-02 / 日本語・英数字を含むPNG。OCR有効時に派生テキストが追加されるか確認する。</x:v>
      </x:c>
      <x:c r="AC28" s="1356"/>
      <x:c r="AD28" s="1356"/>
      <x:c r="AE28" s="1356"/>
      <x:c r="AF28" s="1356"/>
      <x:c r="AG28" s="1356"/>
      <x:c r="AH28" s="1356"/>
      <x:c r="AI28" s="1356"/>
      <x:c r="AJ28" s="1356"/>
      <x:c r="AK28" s="1356"/>
      <x:c r="AL28" s="1356"/>
      <x:c r="AM28" s="1356"/>
      <x:c r="AN28" s="1356"/>
      <x:c r="AO28" s="1356"/>
      <x:c r="AP28" s="1356"/>
      <x:c r="AQ28" s="1356"/>
      <x:c r="AR28" s="1356"/>
      <x:c r="AS28" s="1356"/>
      <x:c r="AT28" s="1356"/>
      <x:c r="AU28" s="1356"/>
      <x:c r="AV28" s="1356"/>
      <x:c r="AW28" s="1356"/>
      <x:c r="AX28" s="1356"/>
      <x:c r="AY28" s="1356"/>
      <x:c r="AZ28" s="1316"/>
    </x:row>
    <x:row r="29" ht="22" customHeight="1">
      <x:c r="A29" s="1316"/>
      <x:c r="B29" s="1356"/>
      <x:c r="C29" s="1356"/>
      <x:c r="D29" s="1356"/>
      <x:c r="E29" s="1356"/>
      <x:c r="F29" s="1356"/>
      <x:c r="G29" s="1356"/>
      <x:c r="H29" s="1356"/>
      <x:c r="I29" s="1356"/>
      <x:c r="J29" s="1356"/>
      <x:c r="K29" s="1356"/>
      <x:c r="L29" s="1356"/>
      <x:c r="M29" s="1356"/>
      <x:c r="N29" s="1356"/>
      <x:c r="O29" s="1356"/>
      <x:c r="P29" s="1356"/>
      <x:c r="Q29" s="1356"/>
      <x:c r="R29" s="1356"/>
      <x:c r="S29" s="1356"/>
      <x:c r="T29" s="1356"/>
      <x:c r="U29" s="1356"/>
      <x:c r="V29" s="1356"/>
      <x:c r="W29" s="1356"/>
      <x:c r="X29" s="1356"/>
      <x:c r="Y29" s="1356"/>
      <x:c r="Z29" s="1316"/>
      <x:c r="AA29" s="1316"/>
      <x:c r="AB29" s="1356"/>
      <x:c r="AC29" s="1356"/>
      <x:c r="AD29" s="1356"/>
      <x:c r="AE29" s="1356"/>
      <x:c r="AF29" s="1356"/>
      <x:c r="AG29" s="1356"/>
      <x:c r="AH29" s="1356"/>
      <x:c r="AI29" s="1356"/>
      <x:c r="AJ29" s="1356"/>
      <x:c r="AK29" s="1356"/>
      <x:c r="AL29" s="1356"/>
      <x:c r="AM29" s="1356"/>
      <x:c r="AN29" s="1356"/>
      <x:c r="AO29" s="1356"/>
      <x:c r="AP29" s="1356"/>
      <x:c r="AQ29" s="1356"/>
      <x:c r="AR29" s="1356"/>
      <x:c r="AS29" s="1356"/>
      <x:c r="AT29" s="1356"/>
      <x:c r="AU29" s="1356"/>
      <x:c r="AV29" s="1356"/>
      <x:c r="AW29" s="1356"/>
      <x:c r="AX29" s="1356"/>
      <x:c r="AY29" s="1356"/>
      <x:c r="AZ29" s="1316"/>
    </x:row>
    <x:row r="30" ht="22" customHeight="1">
      <x:c r="A30" s="1316"/>
      <x:c r="B30" s="1356"/>
      <x:c r="C30" s="1356"/>
      <x:c r="D30" s="1356"/>
      <x:c r="E30" s="1356"/>
      <x:c r="F30" s="1356"/>
      <x:c r="G30" s="1356"/>
      <x:c r="H30" s="1356"/>
      <x:c r="I30" s="1356"/>
      <x:c r="J30" s="1356"/>
      <x:c r="K30" s="1356"/>
      <x:c r="L30" s="1356"/>
      <x:c r="M30" s="1356"/>
      <x:c r="N30" s="1356"/>
      <x:c r="O30" s="1356"/>
      <x:c r="P30" s="1356"/>
      <x:c r="Q30" s="1356"/>
      <x:c r="R30" s="1356"/>
      <x:c r="S30" s="1356"/>
      <x:c r="T30" s="1356"/>
      <x:c r="U30" s="1356"/>
      <x:c r="V30" s="1356"/>
      <x:c r="W30" s="1356"/>
      <x:c r="X30" s="1356"/>
      <x:c r="Y30" s="1356"/>
      <x:c r="Z30" s="1316"/>
      <x:c r="AA30" s="1316"/>
      <x:c r="AB30" s="1356"/>
      <x:c r="AC30" s="1356"/>
      <x:c r="AD30" s="1356"/>
      <x:c r="AE30" s="1356"/>
      <x:c r="AF30" s="1356"/>
      <x:c r="AG30" s="1356"/>
      <x:c r="AH30" s="1356"/>
      <x:c r="AI30" s="1356"/>
      <x:c r="AJ30" s="1356"/>
      <x:c r="AK30" s="1356"/>
      <x:c r="AL30" s="1356"/>
      <x:c r="AM30" s="1356"/>
      <x:c r="AN30" s="1356"/>
      <x:c r="AO30" s="1356"/>
      <x:c r="AP30" s="1356"/>
      <x:c r="AQ30" s="1356"/>
      <x:c r="AR30" s="1356"/>
      <x:c r="AS30" s="1356"/>
      <x:c r="AT30" s="1356"/>
      <x:c r="AU30" s="1356"/>
      <x:c r="AV30" s="1356"/>
      <x:c r="AW30" s="1356"/>
      <x:c r="AX30" s="1356"/>
      <x:c r="AY30" s="1356"/>
      <x:c r="AZ30" s="1316"/>
    </x:row>
    <x:row r="31" ht="22" customHeight="1">
      <x:c r="A31" s="1316"/>
      <x:c r="B31" s="1356"/>
      <x:c r="C31" s="1356"/>
      <x:c r="D31" s="1356"/>
      <x:c r="E31" s="1356"/>
      <x:c r="F31" s="1356"/>
      <x:c r="G31" s="1356"/>
      <x:c r="H31" s="1356"/>
      <x:c r="I31" s="1356"/>
      <x:c r="J31" s="1356"/>
      <x:c r="K31" s="1356"/>
      <x:c r="L31" s="1356"/>
      <x:c r="M31" s="1356"/>
      <x:c r="N31" s="1356"/>
      <x:c r="O31" s="1356"/>
      <x:c r="P31" s="1356"/>
      <x:c r="Q31" s="1356"/>
      <x:c r="R31" s="1356"/>
      <x:c r="S31" s="1356"/>
      <x:c r="T31" s="1356"/>
      <x:c r="U31" s="1356"/>
      <x:c r="V31" s="1356"/>
      <x:c r="W31" s="1356"/>
      <x:c r="X31" s="1356"/>
      <x:c r="Y31" s="1356"/>
      <x:c r="Z31" s="1316"/>
      <x:c r="AA31" s="1316"/>
      <x:c r="AB31" s="1356"/>
      <x:c r="AC31" s="1356"/>
      <x:c r="AD31" s="1356"/>
      <x:c r="AE31" s="1356"/>
      <x:c r="AF31" s="1356"/>
      <x:c r="AG31" s="1356"/>
      <x:c r="AH31" s="1356"/>
      <x:c r="AI31" s="1356"/>
      <x:c r="AJ31" s="1356"/>
      <x:c r="AK31" s="1356"/>
      <x:c r="AL31" s="1356"/>
      <x:c r="AM31" s="1356"/>
      <x:c r="AN31" s="1356"/>
      <x:c r="AO31" s="1356"/>
      <x:c r="AP31" s="1356"/>
      <x:c r="AQ31" s="1356"/>
      <x:c r="AR31" s="1356"/>
      <x:c r="AS31" s="1356"/>
      <x:c r="AT31" s="1356"/>
      <x:c r="AU31" s="1356"/>
      <x:c r="AV31" s="1356"/>
      <x:c r="AW31" s="1356"/>
      <x:c r="AX31" s="1356"/>
      <x:c r="AY31" s="1356"/>
      <x:c r="AZ31" s="1316"/>
    </x:row>
    <x:row r="32" ht="18" customHeight="1">
      <x:c r="A32" s="1316"/>
      <x:c r="B32" s="1316"/>
      <x:c r="C32" s="1316"/>
      <x:c r="D32" s="1316"/>
      <x:c r="E32" s="1316"/>
      <x:c r="F32" s="1316"/>
      <x:c r="G32" s="1316"/>
      <x:c r="H32" s="1316"/>
      <x:c r="I32" s="1316"/>
      <x:c r="J32" s="1316"/>
      <x:c r="K32" s="1316"/>
      <x:c r="L32" s="1316"/>
      <x:c r="M32" s="1316"/>
      <x:c r="N32" s="1316"/>
      <x:c r="O32" s="1316"/>
      <x:c r="P32" s="1316"/>
      <x:c r="Q32" s="1316"/>
      <x:c r="R32" s="1316"/>
      <x:c r="S32" s="1316"/>
      <x:c r="T32" s="1316"/>
      <x:c r="U32" s="1316"/>
      <x:c r="V32" s="1316"/>
      <x:c r="W32" s="1316"/>
      <x:c r="X32" s="1316"/>
      <x:c r="Y32" s="1316"/>
      <x:c r="Z32" s="1316"/>
      <x:c r="AA32" s="1316"/>
      <x:c r="AB32" s="1316"/>
      <x:c r="AC32" s="1316"/>
      <x:c r="AD32" s="1316"/>
      <x:c r="AE32" s="1316"/>
      <x:c r="AF32" s="1316"/>
      <x:c r="AG32" s="1316"/>
      <x:c r="AH32" s="1316"/>
      <x:c r="AI32" s="1316"/>
      <x:c r="AJ32" s="1316"/>
      <x:c r="AK32" s="1316"/>
      <x:c r="AL32" s="1316"/>
      <x:c r="AM32" s="1316"/>
      <x:c r="AN32" s="1316"/>
      <x:c r="AO32" s="1316"/>
      <x:c r="AP32" s="1316"/>
      <x:c r="AQ32" s="1316"/>
      <x:c r="AR32" s="1316"/>
      <x:c r="AS32" s="1316"/>
      <x:c r="AT32" s="1316"/>
      <x:c r="AU32" s="1316"/>
      <x:c r="AV32" s="1316"/>
      <x:c r="AW32" s="1316"/>
      <x:c r="AX32" s="1316"/>
      <x:c r="AY32" s="1316"/>
      <x:c r="AZ32" s="1316"/>
    </x:row>
    <x:row r="33" ht="18" customHeight="1">
      <x:c r="A33" s="1316"/>
      <x:c r="B33" s="1316"/>
      <x:c r="C33" s="1316"/>
      <x:c r="D33" s="1316"/>
      <x:c r="E33" s="1316"/>
      <x:c r="F33" s="1316"/>
      <x:c r="G33" s="1316"/>
      <x:c r="H33" s="1316"/>
      <x:c r="I33" s="1316"/>
      <x:c r="J33" s="1316"/>
      <x:c r="K33" s="1316"/>
      <x:c r="L33" s="1316"/>
      <x:c r="M33" s="1316"/>
      <x:c r="N33" s="1316"/>
      <x:c r="O33" s="1316"/>
      <x:c r="P33" s="1316"/>
      <x:c r="Q33" s="1316"/>
      <x:c r="R33" s="1316"/>
      <x:c r="S33" s="1316"/>
      <x:c r="T33" s="1316"/>
      <x:c r="U33" s="1316"/>
      <x:c r="V33" s="1316"/>
      <x:c r="W33" s="1316"/>
      <x:c r="X33" s="1316"/>
      <x:c r="Y33" s="1316"/>
      <x:c r="Z33" s="1316"/>
      <x:c r="AA33" s="1316"/>
      <x:c r="AB33" s="1316"/>
      <x:c r="AC33" s="1316"/>
      <x:c r="AD33" s="1316"/>
      <x:c r="AE33" s="1316"/>
      <x:c r="AF33" s="1316"/>
      <x:c r="AG33" s="1316"/>
      <x:c r="AH33" s="1316"/>
      <x:c r="AI33" s="1316"/>
      <x:c r="AJ33" s="1316"/>
      <x:c r="AK33" s="1316"/>
      <x:c r="AL33" s="1316"/>
      <x:c r="AM33" s="1316"/>
      <x:c r="AN33" s="1316"/>
      <x:c r="AO33" s="1316"/>
      <x:c r="AP33" s="1316"/>
      <x:c r="AQ33" s="1316"/>
      <x:c r="AR33" s="1316"/>
      <x:c r="AS33" s="1316"/>
      <x:c r="AT33" s="1316"/>
      <x:c r="AU33" s="1316"/>
      <x:c r="AV33" s="1316"/>
      <x:c r="AW33" s="1316"/>
      <x:c r="AX33" s="1316"/>
      <x:c r="AY33" s="1316"/>
      <x:c r="AZ33" s="1316"/>
    </x:row>
    <x:row r="34" ht="18" customHeight="1">
      <x:c r="A34" s="1316"/>
      <x:c r="B34" s="1347" t="str">
        <x:v>9.3 期待する確認ポイント</x:v>
      </x:c>
      <x:c r="C34" s="1348"/>
      <x:c r="D34" s="1348"/>
      <x:c r="E34" s="1348"/>
      <x:c r="F34" s="1348"/>
      <x:c r="G34" s="1348"/>
      <x:c r="H34" s="1348"/>
      <x:c r="I34" s="1348"/>
      <x:c r="J34" s="1348"/>
      <x:c r="K34" s="1348"/>
      <x:c r="L34" s="1348"/>
      <x:c r="M34" s="1348"/>
      <x:c r="N34" s="1348"/>
      <x:c r="O34" s="1348"/>
      <x:c r="P34" s="1348"/>
      <x:c r="Q34" s="1348"/>
      <x:c r="R34" s="1348"/>
      <x:c r="S34" s="1348"/>
      <x:c r="T34" s="1348"/>
      <x:c r="U34" s="1348"/>
      <x:c r="V34" s="1348"/>
      <x:c r="W34" s="1348"/>
      <x:c r="X34" s="1348"/>
      <x:c r="Y34" s="1348"/>
      <x:c r="Z34" s="1348"/>
      <x:c r="AA34" s="1348"/>
      <x:c r="AB34" s="1348"/>
      <x:c r="AC34" s="1348"/>
      <x:c r="AD34" s="1348"/>
      <x:c r="AE34" s="1348"/>
      <x:c r="AF34" s="1348"/>
      <x:c r="AG34" s="1348"/>
      <x:c r="AH34" s="1348"/>
      <x:c r="AI34" s="1348"/>
      <x:c r="AJ34" s="1348"/>
      <x:c r="AK34" s="1348"/>
      <x:c r="AL34" s="1348"/>
      <x:c r="AM34" s="1348"/>
      <x:c r="AN34" s="1348"/>
      <x:c r="AO34" s="1348"/>
      <x:c r="AP34" s="1348"/>
      <x:c r="AQ34" s="1348"/>
      <x:c r="AR34" s="1348"/>
      <x:c r="AS34" s="1348"/>
      <x:c r="AT34" s="1348"/>
      <x:c r="AU34" s="1348"/>
      <x:c r="AV34" s="1348"/>
      <x:c r="AW34" s="1348"/>
      <x:c r="AX34" s="1348"/>
      <x:c r="AY34" s="1349"/>
      <x:c r="AZ34" s="1316"/>
    </x:row>
    <x:row r="35" ht="18" customHeight="1">
      <x:c r="A35" s="1316"/>
      <x:c r="B35" s="1350"/>
      <x:c r="C35" s="1351"/>
      <x:c r="D35" s="1351"/>
      <x:c r="E35" s="1351"/>
      <x:c r="F35" s="1351"/>
      <x:c r="G35" s="1351"/>
      <x:c r="H35" s="1351"/>
      <x:c r="I35" s="1351"/>
      <x:c r="J35" s="1351"/>
      <x:c r="K35" s="1351"/>
      <x:c r="L35" s="1351"/>
      <x:c r="M35" s="1351"/>
      <x:c r="N35" s="1351"/>
      <x:c r="O35" s="1351"/>
      <x:c r="P35" s="1351"/>
      <x:c r="Q35" s="1351"/>
      <x:c r="R35" s="1351"/>
      <x:c r="S35" s="1351"/>
      <x:c r="T35" s="1351"/>
      <x:c r="U35" s="1351"/>
      <x:c r="V35" s="1351"/>
      <x:c r="W35" s="1351"/>
      <x:c r="X35" s="1351"/>
      <x:c r="Y35" s="1351"/>
      <x:c r="Z35" s="1351"/>
      <x:c r="AA35" s="1351"/>
      <x:c r="AB35" s="1351"/>
      <x:c r="AC35" s="1351"/>
      <x:c r="AD35" s="1351"/>
      <x:c r="AE35" s="1351"/>
      <x:c r="AF35" s="1351"/>
      <x:c r="AG35" s="1351"/>
      <x:c r="AH35" s="1351"/>
      <x:c r="AI35" s="1351"/>
      <x:c r="AJ35" s="1351"/>
      <x:c r="AK35" s="1351"/>
      <x:c r="AL35" s="1351"/>
      <x:c r="AM35" s="1351"/>
      <x:c r="AN35" s="1351"/>
      <x:c r="AO35" s="1351"/>
      <x:c r="AP35" s="1351"/>
      <x:c r="AQ35" s="1351"/>
      <x:c r="AR35" s="1351"/>
      <x:c r="AS35" s="1351"/>
      <x:c r="AT35" s="1351"/>
      <x:c r="AU35" s="1351"/>
      <x:c r="AV35" s="1351"/>
      <x:c r="AW35" s="1351"/>
      <x:c r="AX35" s="1351"/>
      <x:c r="AY35" s="1352"/>
      <x:c r="AZ35" s="1316"/>
    </x:row>
    <x:row r="36" ht="18" customHeight="1">
      <x:c r="A36" s="1316"/>
      <x:c r="B36" s="1316"/>
      <x:c r="C36" s="1316"/>
      <x:c r="D36" s="1316"/>
      <x:c r="E36" s="1316"/>
      <x:c r="F36" s="1316"/>
      <x:c r="G36" s="1316"/>
      <x:c r="H36" s="1316"/>
      <x:c r="I36" s="1316"/>
      <x:c r="J36" s="1316"/>
      <x:c r="K36" s="1316"/>
      <x:c r="L36" s="1316"/>
      <x:c r="M36" s="1316"/>
      <x:c r="N36" s="1316"/>
      <x:c r="O36" s="1316"/>
      <x:c r="P36" s="1316"/>
      <x:c r="Q36" s="1316"/>
      <x:c r="R36" s="1316"/>
      <x:c r="S36" s="1316"/>
      <x:c r="T36" s="1316"/>
      <x:c r="U36" s="1316"/>
      <x:c r="V36" s="1316"/>
      <x:c r="W36" s="1316"/>
      <x:c r="X36" s="1316"/>
      <x:c r="Y36" s="1316"/>
      <x:c r="Z36" s="1316"/>
      <x:c r="AA36" s="1316"/>
      <x:c r="AB36" s="1316"/>
      <x:c r="AC36" s="1316"/>
      <x:c r="AD36" s="1316"/>
      <x:c r="AE36" s="1316"/>
      <x:c r="AF36" s="1316"/>
      <x:c r="AG36" s="1316"/>
      <x:c r="AH36" s="1316"/>
      <x:c r="AI36" s="1316"/>
      <x:c r="AJ36" s="1316"/>
      <x:c r="AK36" s="1316"/>
      <x:c r="AL36" s="1316"/>
      <x:c r="AM36" s="1316"/>
      <x:c r="AN36" s="1316"/>
      <x:c r="AO36" s="1316"/>
      <x:c r="AP36" s="1316"/>
      <x:c r="AQ36" s="1316"/>
      <x:c r="AR36" s="1316"/>
      <x:c r="AS36" s="1316"/>
      <x:c r="AT36" s="1316"/>
      <x:c r="AU36" s="1316"/>
      <x:c r="AV36" s="1316"/>
      <x:c r="AW36" s="1316"/>
      <x:c r="AX36" s="1316"/>
      <x:c r="AY36" s="1316"/>
      <x:c r="AZ36" s="1316"/>
    </x:row>
    <x:row r="37" ht="18" customHeight="1">
      <x:c r="A37" s="1316"/>
      <x:c r="B37" s="1316"/>
      <x:c r="C37" s="1316"/>
      <x:c r="D37" s="1316"/>
      <x:c r="E37" s="1316"/>
      <x:c r="F37" s="1316"/>
      <x:c r="G37" s="1316"/>
      <x:c r="H37" s="1316"/>
      <x:c r="I37" s="1316"/>
      <x:c r="J37" s="1316"/>
      <x:c r="K37" s="1316"/>
      <x:c r="L37" s="1316"/>
      <x:c r="M37" s="1316"/>
      <x:c r="N37" s="1316"/>
      <x:c r="O37" s="1316"/>
      <x:c r="P37" s="1316"/>
      <x:c r="Q37" s="1316"/>
      <x:c r="R37" s="1316"/>
      <x:c r="S37" s="1316"/>
      <x:c r="T37" s="1316"/>
      <x:c r="U37" s="1316"/>
      <x:c r="V37" s="1316"/>
      <x:c r="W37" s="1316"/>
      <x:c r="X37" s="1316"/>
      <x:c r="Y37" s="1316"/>
      <x:c r="Z37" s="1316"/>
      <x:c r="AA37" s="1316"/>
      <x:c r="AB37" s="1316"/>
      <x:c r="AC37" s="1316"/>
      <x:c r="AD37" s="1316"/>
      <x:c r="AE37" s="1316"/>
      <x:c r="AF37" s="1316"/>
      <x:c r="AG37" s="1316"/>
      <x:c r="AH37" s="1316"/>
      <x:c r="AI37" s="1316"/>
      <x:c r="AJ37" s="1316"/>
      <x:c r="AK37" s="1316"/>
      <x:c r="AL37" s="1316"/>
      <x:c r="AM37" s="1316"/>
      <x:c r="AN37" s="1316"/>
      <x:c r="AO37" s="1316"/>
      <x:c r="AP37" s="1316"/>
      <x:c r="AQ37" s="1316"/>
      <x:c r="AR37" s="1316"/>
      <x:c r="AS37" s="1316"/>
      <x:c r="AT37" s="1316"/>
      <x:c r="AU37" s="1316"/>
      <x:c r="AV37" s="1316"/>
      <x:c r="AW37" s="1316"/>
      <x:c r="AX37" s="1316"/>
      <x:c r="AY37" s="1316"/>
      <x:c r="AZ37" s="1316"/>
    </x:row>
    <x:row r="38" ht="26" customHeight="1">
      <x:c r="A38" s="1316"/>
      <x:c r="B38" s="1359" t="str">
        <x:v>画像ID</x:v>
      </x:c>
      <x:c r="C38" s="1359"/>
      <x:c r="D38" s="1359"/>
      <x:c r="E38" s="1359"/>
      <x:c r="F38" s="1359"/>
      <x:c r="G38" s="1359"/>
      <x:c r="H38" s="1359" t="str">
        <x:v>画像種別</x:v>
      </x:c>
      <x:c r="I38" s="1359"/>
      <x:c r="J38" s="1359"/>
      <x:c r="K38" s="1359"/>
      <x:c r="L38" s="1359"/>
      <x:c r="M38" s="1359"/>
      <x:c r="N38" s="1359" t="str">
        <x:v>OCR</x:v>
      </x:c>
      <x:c r="O38" s="1359"/>
      <x:c r="P38" s="1359"/>
      <x:c r="Q38" s="1359"/>
      <x:c r="R38" s="1359"/>
      <x:c r="S38" s="1359"/>
      <x:c r="T38" s="1359" t="str">
        <x:v>確認内容</x:v>
      </x:c>
      <x:c r="U38" s="1359"/>
      <x:c r="V38" s="1359"/>
      <x:c r="W38" s="1359"/>
      <x:c r="X38" s="1359"/>
      <x:c r="Y38" s="1359"/>
      <x:c r="Z38" s="1359"/>
      <x:c r="AA38" s="1359"/>
      <x:c r="AB38" s="1359"/>
      <x:c r="AC38" s="1359"/>
      <x:c r="AD38" s="1359"/>
      <x:c r="AE38" s="1359"/>
      <x:c r="AF38" s="1359"/>
      <x:c r="AG38" s="1359"/>
      <x:c r="AH38" s="1359"/>
      <x:c r="AI38" s="1359"/>
      <x:c r="AJ38" s="1359"/>
      <x:c r="AK38" s="1359"/>
      <x:c r="AL38" s="1359"/>
      <x:c r="AM38" s="1359"/>
      <x:c r="AN38" s="1359"/>
      <x:c r="AO38" s="1359"/>
      <x:c r="AP38" s="1359"/>
      <x:c r="AQ38" s="1359"/>
      <x:c r="AR38" s="1359"/>
      <x:c r="AS38" s="1359"/>
      <x:c r="AT38" s="1359"/>
      <x:c r="AU38" s="1359"/>
      <x:c r="AV38" s="1359"/>
      <x:c r="AW38" s="1359"/>
      <x:c r="AX38" s="1359"/>
      <x:c r="AY38" s="1359"/>
      <x:c r="AZ38" s="1316"/>
    </x:row>
    <x:row r="39" ht="26" customHeight="1">
      <x:c r="A39" s="1316"/>
      <x:c r="B39" s="1361" t="str">
        <x:v>IMG-01</x:v>
      </x:c>
      <x:c r="C39" s="1361"/>
      <x:c r="D39" s="1361"/>
      <x:c r="E39" s="1361"/>
      <x:c r="F39" s="1361"/>
      <x:c r="G39" s="1361"/>
      <x:c r="H39" s="1361" t="str">
        <x:v>文字なしPNG</x:v>
      </x:c>
      <x:c r="I39" s="1361"/>
      <x:c r="J39" s="1361"/>
      <x:c r="K39" s="1361"/>
      <x:c r="L39" s="1361"/>
      <x:c r="M39" s="1361"/>
      <x:c r="N39" s="1361" t="str">
        <x:v>対象外</x:v>
      </x:c>
      <x:c r="O39" s="1361"/>
      <x:c r="P39" s="1361"/>
      <x:c r="Q39" s="1361"/>
      <x:c r="R39" s="1361"/>
      <x:c r="S39" s="1361"/>
      <x:c r="T39" s="1361" t="str">
        <x:v>画像自体がMarkdownから参照可能か</x:v>
      </x:c>
      <x:c r="U39" s="1361"/>
      <x:c r="V39" s="1361"/>
      <x:c r="W39" s="1361"/>
      <x:c r="X39" s="1361"/>
      <x:c r="Y39" s="1361"/>
      <x:c r="Z39" s="1361"/>
      <x:c r="AA39" s="1361"/>
      <x:c r="AB39" s="1361"/>
      <x:c r="AC39" s="1361"/>
      <x:c r="AD39" s="1361"/>
      <x:c r="AE39" s="1361"/>
      <x:c r="AF39" s="1361"/>
      <x:c r="AG39" s="1361"/>
      <x:c r="AH39" s="1361"/>
      <x:c r="AI39" s="1361"/>
      <x:c r="AJ39" s="1361"/>
      <x:c r="AK39" s="1361"/>
      <x:c r="AL39" s="1361"/>
      <x:c r="AM39" s="1361"/>
      <x:c r="AN39" s="1361"/>
      <x:c r="AO39" s="1361"/>
      <x:c r="AP39" s="1361"/>
      <x:c r="AQ39" s="1361"/>
      <x:c r="AR39" s="1361"/>
      <x:c r="AS39" s="1361"/>
      <x:c r="AT39" s="1361"/>
      <x:c r="AU39" s="1361"/>
      <x:c r="AV39" s="1361"/>
      <x:c r="AW39" s="1361"/>
      <x:c r="AX39" s="1361"/>
      <x:c r="AY39" s="1361"/>
      <x:c r="AZ39" s="1316"/>
    </x:row>
    <x:row r="40" ht="26" customHeight="1">
      <x:c r="A40" s="1316"/>
      <x:c r="B40" s="1361" t="str">
        <x:v>IMG-02</x:v>
      </x:c>
      <x:c r="C40" s="1361"/>
      <x:c r="D40" s="1361"/>
      <x:c r="E40" s="1361"/>
      <x:c r="F40" s="1361"/>
      <x:c r="G40" s="1361"/>
      <x:c r="H40" s="1361" t="str">
        <x:v>日本語文字PNG</x:v>
      </x:c>
      <x:c r="I40" s="1361"/>
      <x:c r="J40" s="1361"/>
      <x:c r="K40" s="1361"/>
      <x:c r="L40" s="1361"/>
      <x:c r="M40" s="1361"/>
      <x:c r="N40" s="1361" t="str">
        <x:v>jpn+eng</x:v>
      </x:c>
      <x:c r="O40" s="1361"/>
      <x:c r="P40" s="1361"/>
      <x:c r="Q40" s="1361"/>
      <x:c r="R40" s="1361"/>
      <x:c r="S40" s="1361"/>
      <x:c r="T40" s="1361" t="str">
        <x:v>画像内限定の文字列が派生テキストとして出力されるか</x:v>
      </x:c>
      <x:c r="U40" s="1361"/>
      <x:c r="V40" s="1361"/>
      <x:c r="W40" s="1361"/>
      <x:c r="X40" s="1361"/>
      <x:c r="Y40" s="1361"/>
      <x:c r="Z40" s="1361"/>
      <x:c r="AA40" s="1361"/>
      <x:c r="AB40" s="1361"/>
      <x:c r="AC40" s="1361"/>
      <x:c r="AD40" s="1361"/>
      <x:c r="AE40" s="1361"/>
      <x:c r="AF40" s="1361"/>
      <x:c r="AG40" s="1361"/>
      <x:c r="AH40" s="1361"/>
      <x:c r="AI40" s="1361"/>
      <x:c r="AJ40" s="1361"/>
      <x:c r="AK40" s="1361"/>
      <x:c r="AL40" s="1361"/>
      <x:c r="AM40" s="1361"/>
      <x:c r="AN40" s="1361"/>
      <x:c r="AO40" s="1361"/>
      <x:c r="AP40" s="1361"/>
      <x:c r="AQ40" s="1361"/>
      <x:c r="AR40" s="1361"/>
      <x:c r="AS40" s="1361"/>
      <x:c r="AT40" s="1361"/>
      <x:c r="AU40" s="1361"/>
      <x:c r="AV40" s="1361"/>
      <x:c r="AW40" s="1361"/>
      <x:c r="AX40" s="1361"/>
      <x:c r="AY40" s="1361"/>
      <x:c r="AZ40" s="1316"/>
    </x:row>
    <x:row r="41">
      <x:c r="A41" s="1316"/>
      <x:c r="B41" s="1316"/>
      <x:c r="C41" s="1316"/>
      <x:c r="D41" s="1316"/>
      <x:c r="E41" s="1316"/>
      <x:c r="F41" s="1316"/>
      <x:c r="G41" s="1316"/>
      <x:c r="H41" s="1316"/>
      <x:c r="I41" s="1316"/>
      <x:c r="J41" s="1316"/>
      <x:c r="K41" s="1316"/>
      <x:c r="L41" s="1316"/>
      <x:c r="M41" s="1316"/>
      <x:c r="N41" s="1316"/>
      <x:c r="O41" s="1316"/>
      <x:c r="P41" s="1316"/>
      <x:c r="Q41" s="1316"/>
      <x:c r="R41" s="1316"/>
      <x:c r="S41" s="1316"/>
      <x:c r="T41" s="1316"/>
      <x:c r="U41" s="1316"/>
      <x:c r="V41" s="1316"/>
      <x:c r="W41" s="1316"/>
      <x:c r="X41" s="1316"/>
      <x:c r="Y41" s="1316"/>
      <x:c r="Z41" s="1316"/>
      <x:c r="AA41" s="1316"/>
      <x:c r="AB41" s="1316"/>
      <x:c r="AC41" s="1316"/>
      <x:c r="AD41" s="1316"/>
      <x:c r="AE41" s="1316"/>
      <x:c r="AF41" s="1316"/>
      <x:c r="AG41" s="1316"/>
      <x:c r="AH41" s="1316"/>
      <x:c r="AI41" s="1316"/>
      <x:c r="AJ41" s="1316"/>
      <x:c r="AK41" s="1316"/>
      <x:c r="AL41" s="1316"/>
      <x:c r="AM41" s="1316"/>
      <x:c r="AN41" s="1316"/>
      <x:c r="AO41" s="1316"/>
      <x:c r="AP41" s="1316"/>
      <x:c r="AQ41" s="1316"/>
      <x:c r="AR41" s="1316"/>
      <x:c r="AS41" s="1316"/>
      <x:c r="AT41" s="1316"/>
      <x:c r="AU41" s="1316"/>
      <x:c r="AV41" s="1316"/>
      <x:c r="AW41" s="1316"/>
      <x:c r="AX41" s="1316"/>
      <x:c r="AY41" s="1316"/>
      <x:c r="AZ41" s="1316"/>
    </x:row>
    <x:row r="42">
      <x:c r="A42" s="1316"/>
      <x:c r="B42" s="1316"/>
      <x:c r="C42" s="1316"/>
      <x:c r="D42" s="1316"/>
      <x:c r="E42" s="1316"/>
      <x:c r="F42" s="1316"/>
      <x:c r="G42" s="1316"/>
      <x:c r="H42" s="1316"/>
      <x:c r="I42" s="1316"/>
      <x:c r="J42" s="1316"/>
      <x:c r="K42" s="1316"/>
      <x:c r="L42" s="1316"/>
      <x:c r="M42" s="1316"/>
      <x:c r="N42" s="1316"/>
      <x:c r="O42" s="1316"/>
      <x:c r="P42" s="1316"/>
      <x:c r="Q42" s="1316"/>
      <x:c r="R42" s="1316"/>
      <x:c r="S42" s="1316"/>
      <x:c r="T42" s="1316"/>
      <x:c r="U42" s="1316"/>
      <x:c r="V42" s="1316"/>
      <x:c r="W42" s="1316"/>
      <x:c r="X42" s="1316"/>
      <x:c r="Y42" s="1316"/>
      <x:c r="Z42" s="1316"/>
      <x:c r="AA42" s="1316"/>
      <x:c r="AB42" s="1316"/>
      <x:c r="AC42" s="1316"/>
      <x:c r="AD42" s="1316"/>
      <x:c r="AE42" s="1316"/>
      <x:c r="AF42" s="1316"/>
      <x:c r="AG42" s="1316"/>
      <x:c r="AH42" s="1316"/>
      <x:c r="AI42" s="1316"/>
      <x:c r="AJ42" s="1316"/>
      <x:c r="AK42" s="1316"/>
      <x:c r="AL42" s="1316"/>
      <x:c r="AM42" s="1316"/>
      <x:c r="AN42" s="1316"/>
      <x:c r="AO42" s="1316"/>
      <x:c r="AP42" s="1316"/>
      <x:c r="AQ42" s="1316"/>
      <x:c r="AR42" s="1316"/>
      <x:c r="AS42" s="1316"/>
      <x:c r="AT42" s="1316"/>
      <x:c r="AU42" s="1316"/>
      <x:c r="AV42" s="1316"/>
      <x:c r="AW42" s="1316"/>
      <x:c r="AX42" s="1316"/>
      <x:c r="AY42" s="1316"/>
      <x:c r="AZ42" s="1316"/>
    </x:row>
    <x:row r="43">
      <x:c r="A43" s="1316"/>
      <x:c r="B43" s="1316"/>
      <x:c r="C43" s="1316"/>
      <x:c r="D43" s="1316"/>
      <x:c r="E43" s="1316"/>
      <x:c r="F43" s="1316"/>
      <x:c r="G43" s="1316"/>
      <x:c r="H43" s="1316"/>
      <x:c r="I43" s="1316"/>
      <x:c r="J43" s="1316"/>
      <x:c r="K43" s="1316"/>
      <x:c r="L43" s="1316"/>
      <x:c r="M43" s="1316"/>
      <x:c r="N43" s="1316"/>
      <x:c r="O43" s="1316"/>
      <x:c r="P43" s="1316"/>
      <x:c r="Q43" s="1316"/>
      <x:c r="R43" s="1316"/>
      <x:c r="S43" s="1316"/>
      <x:c r="T43" s="1316"/>
      <x:c r="U43" s="1316"/>
      <x:c r="V43" s="1316"/>
      <x:c r="W43" s="1316"/>
      <x:c r="X43" s="1316"/>
      <x:c r="Y43" s="1316"/>
      <x:c r="Z43" s="1316"/>
      <x:c r="AA43" s="1316"/>
      <x:c r="AB43" s="1316"/>
      <x:c r="AC43" s="1316"/>
      <x:c r="AD43" s="1316"/>
      <x:c r="AE43" s="1316"/>
      <x:c r="AF43" s="1316"/>
      <x:c r="AG43" s="1316"/>
      <x:c r="AH43" s="1316"/>
      <x:c r="AI43" s="1316"/>
      <x:c r="AJ43" s="1316"/>
      <x:c r="AK43" s="1316"/>
      <x:c r="AL43" s="1316"/>
      <x:c r="AM43" s="1316"/>
      <x:c r="AN43" s="1316"/>
      <x:c r="AO43" s="1316"/>
      <x:c r="AP43" s="1316"/>
      <x:c r="AQ43" s="1316"/>
      <x:c r="AR43" s="1316"/>
      <x:c r="AS43" s="1316"/>
      <x:c r="AT43" s="1316"/>
      <x:c r="AU43" s="1316"/>
      <x:c r="AV43" s="1316"/>
      <x:c r="AW43" s="1316"/>
      <x:c r="AX43" s="1316"/>
      <x:c r="AY43" s="1316"/>
      <x:c r="AZ43" s="1316"/>
    </x:row>
    <x:row r="44">
      <x:c r="A44" s="1316"/>
      <x:c r="B44" s="1316"/>
      <x:c r="C44" s="1316"/>
      <x:c r="D44" s="1316"/>
      <x:c r="E44" s="1316"/>
      <x:c r="F44" s="1316"/>
      <x:c r="G44" s="1316"/>
      <x:c r="H44" s="1316"/>
      <x:c r="I44" s="1316"/>
      <x:c r="J44" s="1316"/>
      <x:c r="K44" s="1316"/>
      <x:c r="L44" s="1316"/>
      <x:c r="M44" s="1316"/>
      <x:c r="N44" s="1316"/>
      <x:c r="O44" s="1316"/>
      <x:c r="P44" s="1316"/>
      <x:c r="Q44" s="1316"/>
      <x:c r="R44" s="1316"/>
      <x:c r="S44" s="1316"/>
      <x:c r="T44" s="1316"/>
      <x:c r="U44" s="1316"/>
      <x:c r="V44" s="1316"/>
      <x:c r="W44" s="1316"/>
      <x:c r="X44" s="1316"/>
      <x:c r="Y44" s="1316"/>
      <x:c r="Z44" s="1316"/>
      <x:c r="AA44" s="1316"/>
      <x:c r="AB44" s="1316"/>
      <x:c r="AC44" s="1316"/>
      <x:c r="AD44" s="1316"/>
      <x:c r="AE44" s="1316"/>
      <x:c r="AF44" s="1316"/>
      <x:c r="AG44" s="1316"/>
      <x:c r="AH44" s="1316"/>
      <x:c r="AI44" s="1316"/>
      <x:c r="AJ44" s="1316"/>
      <x:c r="AK44" s="1316"/>
      <x:c r="AL44" s="1316"/>
      <x:c r="AM44" s="1316"/>
      <x:c r="AN44" s="1316"/>
      <x:c r="AO44" s="1316"/>
      <x:c r="AP44" s="1316"/>
      <x:c r="AQ44" s="1316"/>
      <x:c r="AR44" s="1316"/>
      <x:c r="AS44" s="1316"/>
      <x:c r="AT44" s="1316"/>
      <x:c r="AU44" s="1316"/>
      <x:c r="AV44" s="1316"/>
      <x:c r="AW44" s="1316"/>
      <x:c r="AX44" s="1316"/>
      <x:c r="AY44" s="1316"/>
      <x:c r="AZ44" s="1316"/>
    </x:row>
    <x:row r="45">
      <x:c r="A45" s="1316"/>
      <x:c r="B45" s="1316"/>
      <x:c r="C45" s="1316"/>
      <x:c r="D45" s="1316"/>
      <x:c r="E45" s="1316"/>
      <x:c r="F45" s="1316"/>
      <x:c r="G45" s="1316"/>
      <x:c r="H45" s="1316"/>
      <x:c r="I45" s="1316"/>
      <x:c r="J45" s="1316"/>
      <x:c r="K45" s="1316"/>
      <x:c r="L45" s="1316"/>
      <x:c r="M45" s="1316"/>
      <x:c r="N45" s="1316"/>
      <x:c r="O45" s="1316"/>
      <x:c r="P45" s="1316"/>
      <x:c r="Q45" s="1316"/>
      <x:c r="R45" s="1316"/>
      <x:c r="S45" s="1316"/>
      <x:c r="T45" s="1316"/>
      <x:c r="U45" s="1316"/>
      <x:c r="V45" s="1316"/>
      <x:c r="W45" s="1316"/>
      <x:c r="X45" s="1316"/>
      <x:c r="Y45" s="1316"/>
      <x:c r="Z45" s="1316"/>
      <x:c r="AA45" s="1316"/>
      <x:c r="AB45" s="1316"/>
      <x:c r="AC45" s="1316"/>
      <x:c r="AD45" s="1316"/>
      <x:c r="AE45" s="1316"/>
      <x:c r="AF45" s="1316"/>
      <x:c r="AG45" s="1316"/>
      <x:c r="AH45" s="1316"/>
      <x:c r="AI45" s="1316"/>
      <x:c r="AJ45" s="1316"/>
      <x:c r="AK45" s="1316"/>
      <x:c r="AL45" s="1316"/>
      <x:c r="AM45" s="1316"/>
      <x:c r="AN45" s="1316"/>
      <x:c r="AO45" s="1316"/>
      <x:c r="AP45" s="1316"/>
      <x:c r="AQ45" s="1316"/>
      <x:c r="AR45" s="1316"/>
      <x:c r="AS45" s="1316"/>
      <x:c r="AT45" s="1316"/>
      <x:c r="AU45" s="1316"/>
      <x:c r="AV45" s="1316"/>
      <x:c r="AW45" s="1316"/>
      <x:c r="AX45" s="1316"/>
      <x:c r="AY45" s="1316"/>
      <x:c r="AZ45" s="1316"/>
    </x:row>
    <x:row r="46">
      <x:c r="A46" s="1316"/>
      <x:c r="B46" s="1316"/>
      <x:c r="C46" s="1316"/>
      <x:c r="D46" s="1316"/>
      <x:c r="E46" s="1316"/>
      <x:c r="F46" s="1316"/>
      <x:c r="G46" s="1316"/>
      <x:c r="H46" s="1316"/>
      <x:c r="I46" s="1316"/>
      <x:c r="J46" s="1316"/>
      <x:c r="K46" s="1316"/>
      <x:c r="L46" s="1316"/>
      <x:c r="M46" s="1316"/>
      <x:c r="N46" s="1316"/>
      <x:c r="O46" s="1316"/>
      <x:c r="P46" s="1316"/>
      <x:c r="Q46" s="1316"/>
      <x:c r="R46" s="1316"/>
      <x:c r="S46" s="1316"/>
      <x:c r="T46" s="1316"/>
      <x:c r="U46" s="1316"/>
      <x:c r="V46" s="1316"/>
      <x:c r="W46" s="1316"/>
      <x:c r="X46" s="1316"/>
      <x:c r="Y46" s="1316"/>
      <x:c r="Z46" s="1316"/>
      <x:c r="AA46" s="1316"/>
      <x:c r="AB46" s="1316"/>
      <x:c r="AC46" s="1316"/>
      <x:c r="AD46" s="1316"/>
      <x:c r="AE46" s="1316"/>
      <x:c r="AF46" s="1316"/>
      <x:c r="AG46" s="1316"/>
      <x:c r="AH46" s="1316"/>
      <x:c r="AI46" s="1316"/>
      <x:c r="AJ46" s="1316"/>
      <x:c r="AK46" s="1316"/>
      <x:c r="AL46" s="1316"/>
      <x:c r="AM46" s="1316"/>
      <x:c r="AN46" s="1316"/>
      <x:c r="AO46" s="1316"/>
      <x:c r="AP46" s="1316"/>
      <x:c r="AQ46" s="1316"/>
      <x:c r="AR46" s="1316"/>
      <x:c r="AS46" s="1316"/>
      <x:c r="AT46" s="1316"/>
      <x:c r="AU46" s="1316"/>
      <x:c r="AV46" s="1316"/>
      <x:c r="AW46" s="1316"/>
      <x:c r="AX46" s="1316"/>
      <x:c r="AY46" s="1316"/>
      <x:c r="AZ46" s="1316"/>
    </x:row>
    <x:row r="47">
      <x:c r="A47" s="1316"/>
      <x:c r="B47" s="1316"/>
      <x:c r="C47" s="1316"/>
      <x:c r="D47" s="1316"/>
      <x:c r="E47" s="1316"/>
      <x:c r="F47" s="1316"/>
      <x:c r="G47" s="1316"/>
      <x:c r="H47" s="1316"/>
      <x:c r="I47" s="1316"/>
      <x:c r="J47" s="1316"/>
      <x:c r="K47" s="1316"/>
      <x:c r="L47" s="1316"/>
      <x:c r="M47" s="1316"/>
      <x:c r="N47" s="1316"/>
      <x:c r="O47" s="1316"/>
      <x:c r="P47" s="1316"/>
      <x:c r="Q47" s="1316"/>
      <x:c r="R47" s="1316"/>
      <x:c r="S47" s="1316"/>
      <x:c r="T47" s="1316"/>
      <x:c r="U47" s="1316"/>
      <x:c r="V47" s="1316"/>
      <x:c r="W47" s="1316"/>
      <x:c r="X47" s="1316"/>
      <x:c r="Y47" s="1316"/>
      <x:c r="Z47" s="1316"/>
      <x:c r="AA47" s="1316"/>
      <x:c r="AB47" s="1316"/>
      <x:c r="AC47" s="1316"/>
      <x:c r="AD47" s="1316"/>
      <x:c r="AE47" s="1316"/>
      <x:c r="AF47" s="1316"/>
      <x:c r="AG47" s="1316"/>
      <x:c r="AH47" s="1316"/>
      <x:c r="AI47" s="1316"/>
      <x:c r="AJ47" s="1316"/>
      <x:c r="AK47" s="1316"/>
      <x:c r="AL47" s="1316"/>
      <x:c r="AM47" s="1316"/>
      <x:c r="AN47" s="1316"/>
      <x:c r="AO47" s="1316"/>
      <x:c r="AP47" s="1316"/>
      <x:c r="AQ47" s="1316"/>
      <x:c r="AR47" s="1316"/>
      <x:c r="AS47" s="1316"/>
      <x:c r="AT47" s="1316"/>
      <x:c r="AU47" s="1316"/>
      <x:c r="AV47" s="1316"/>
      <x:c r="AW47" s="1316"/>
      <x:c r="AX47" s="1316"/>
      <x:c r="AY47" s="1316"/>
      <x:c r="AZ47" s="1316"/>
    </x:row>
    <x:row r="48">
      <x:c r="A48" s="1316"/>
      <x:c r="B48" s="1316"/>
      <x:c r="C48" s="1316"/>
      <x:c r="D48" s="1316"/>
      <x:c r="E48" s="1316"/>
      <x:c r="F48" s="1316"/>
      <x:c r="G48" s="1316"/>
      <x:c r="H48" s="1316"/>
      <x:c r="I48" s="1316"/>
      <x:c r="J48" s="1316"/>
      <x:c r="K48" s="1316"/>
      <x:c r="L48" s="1316"/>
      <x:c r="M48" s="1316"/>
      <x:c r="N48" s="1316"/>
      <x:c r="O48" s="1316"/>
      <x:c r="P48" s="1316"/>
      <x:c r="Q48" s="1316"/>
      <x:c r="R48" s="1316"/>
      <x:c r="S48" s="1316"/>
      <x:c r="T48" s="1316"/>
      <x:c r="U48" s="1316"/>
      <x:c r="V48" s="1316"/>
      <x:c r="W48" s="1316"/>
      <x:c r="X48" s="1316"/>
      <x:c r="Y48" s="1316"/>
      <x:c r="Z48" s="1316"/>
      <x:c r="AA48" s="1316"/>
      <x:c r="AB48" s="1316"/>
      <x:c r="AC48" s="1316"/>
      <x:c r="AD48" s="1316"/>
      <x:c r="AE48" s="1316"/>
      <x:c r="AF48" s="1316"/>
      <x:c r="AG48" s="1316"/>
      <x:c r="AH48" s="1316"/>
      <x:c r="AI48" s="1316"/>
      <x:c r="AJ48" s="1316"/>
      <x:c r="AK48" s="1316"/>
      <x:c r="AL48" s="1316"/>
      <x:c r="AM48" s="1316"/>
      <x:c r="AN48" s="1316"/>
      <x:c r="AO48" s="1316"/>
      <x:c r="AP48" s="1316"/>
      <x:c r="AQ48" s="1316"/>
      <x:c r="AR48" s="1316"/>
      <x:c r="AS48" s="1316"/>
      <x:c r="AT48" s="1316"/>
      <x:c r="AU48" s="1316"/>
      <x:c r="AV48" s="1316"/>
      <x:c r="AW48" s="1316"/>
      <x:c r="AX48" s="1316"/>
      <x:c r="AY48" s="1316"/>
      <x:c r="AZ48" s="1316"/>
    </x:row>
    <x:row r="49">
      <x:c r="A49" s="1316"/>
      <x:c r="B49" s="1316"/>
      <x:c r="C49" s="1316"/>
      <x:c r="D49" s="1316"/>
      <x:c r="E49" s="1316"/>
      <x:c r="F49" s="1316"/>
      <x:c r="G49" s="1316"/>
      <x:c r="H49" s="1316"/>
      <x:c r="I49" s="1316"/>
      <x:c r="J49" s="1316"/>
      <x:c r="K49" s="1316"/>
      <x:c r="L49" s="1316"/>
      <x:c r="M49" s="1316"/>
      <x:c r="N49" s="1316"/>
      <x:c r="O49" s="1316"/>
      <x:c r="P49" s="1316"/>
      <x:c r="Q49" s="1316"/>
      <x:c r="R49" s="1316"/>
      <x:c r="S49" s="1316"/>
      <x:c r="T49" s="1316"/>
      <x:c r="U49" s="1316"/>
      <x:c r="V49" s="1316"/>
      <x:c r="W49" s="1316"/>
      <x:c r="X49" s="1316"/>
      <x:c r="Y49" s="1316"/>
      <x:c r="Z49" s="1316"/>
      <x:c r="AA49" s="1316"/>
      <x:c r="AB49" s="1316"/>
      <x:c r="AC49" s="1316"/>
      <x:c r="AD49" s="1316"/>
      <x:c r="AE49" s="1316"/>
      <x:c r="AF49" s="1316"/>
      <x:c r="AG49" s="1316"/>
      <x:c r="AH49" s="1316"/>
      <x:c r="AI49" s="1316"/>
      <x:c r="AJ49" s="1316"/>
      <x:c r="AK49" s="1316"/>
      <x:c r="AL49" s="1316"/>
      <x:c r="AM49" s="1316"/>
      <x:c r="AN49" s="1316"/>
      <x:c r="AO49" s="1316"/>
      <x:c r="AP49" s="1316"/>
      <x:c r="AQ49" s="1316"/>
      <x:c r="AR49" s="1316"/>
      <x:c r="AS49" s="1316"/>
      <x:c r="AT49" s="1316"/>
      <x:c r="AU49" s="1316"/>
      <x:c r="AV49" s="1316"/>
      <x:c r="AW49" s="1316"/>
      <x:c r="AX49" s="1316"/>
      <x:c r="AY49" s="1316"/>
      <x:c r="AZ49" s="1316"/>
    </x:row>
    <x:row r="50">
      <x:c r="A50" s="1316"/>
      <x:c r="B50" s="1316"/>
      <x:c r="C50" s="1316"/>
      <x:c r="D50" s="1316"/>
      <x:c r="E50" s="1316"/>
      <x:c r="F50" s="1316"/>
      <x:c r="G50" s="1316"/>
      <x:c r="H50" s="1316"/>
      <x:c r="I50" s="1316"/>
      <x:c r="J50" s="1316"/>
      <x:c r="K50" s="1316"/>
      <x:c r="L50" s="1316"/>
      <x:c r="M50" s="1316"/>
      <x:c r="N50" s="1316"/>
      <x:c r="O50" s="1316"/>
      <x:c r="P50" s="1316"/>
      <x:c r="Q50" s="1316"/>
      <x:c r="R50" s="1316"/>
      <x:c r="S50" s="1316"/>
      <x:c r="T50" s="1316"/>
      <x:c r="U50" s="1316"/>
      <x:c r="V50" s="1316"/>
      <x:c r="W50" s="1316"/>
      <x:c r="X50" s="1316"/>
      <x:c r="Y50" s="1316"/>
      <x:c r="Z50" s="1316"/>
      <x:c r="AA50" s="1316"/>
      <x:c r="AB50" s="1316"/>
      <x:c r="AC50" s="1316"/>
      <x:c r="AD50" s="1316"/>
      <x:c r="AE50" s="1316"/>
      <x:c r="AF50" s="1316"/>
      <x:c r="AG50" s="1316"/>
      <x:c r="AH50" s="1316"/>
      <x:c r="AI50" s="1316"/>
      <x:c r="AJ50" s="1316"/>
      <x:c r="AK50" s="1316"/>
      <x:c r="AL50" s="1316"/>
      <x:c r="AM50" s="1316"/>
      <x:c r="AN50" s="1316"/>
      <x:c r="AO50" s="1316"/>
      <x:c r="AP50" s="1316"/>
      <x:c r="AQ50" s="1316"/>
      <x:c r="AR50" s="1316"/>
      <x:c r="AS50" s="1316"/>
      <x:c r="AT50" s="1316"/>
      <x:c r="AU50" s="1316"/>
      <x:c r="AV50" s="1316"/>
      <x:c r="AW50" s="1316"/>
      <x:c r="AX50" s="1316"/>
      <x:c r="AY50" s="1316"/>
      <x:c r="AZ50" s="1316"/>
    </x:row>
  </x:sheetData>
  <x:mergeCells>
    <x:mergeCell ref="A1:AZ2"/>
    <x:mergeCell ref="A3:AZ3"/>
    <x:mergeCell ref="A4:L4"/>
    <x:mergeCell ref="M4:R4"/>
    <x:mergeCell ref="S4:AE4"/>
    <x:mergeCell ref="AF4:AQ4"/>
    <x:mergeCell ref="AR4:AZ4"/>
    <x:mergeCell ref="B5:Y6"/>
    <x:mergeCell ref="AB5:AY6"/>
    <x:mergeCell ref="B34:AY35"/>
    <x:mergeCell ref="B28:Y31"/>
    <x:mergeCell ref="AB28:AY31"/>
    <x:mergeCell ref="B38:G38"/>
    <x:mergeCell ref="H38:M38"/>
    <x:mergeCell ref="N38:S38"/>
    <x:mergeCell ref="T38:AY38"/>
    <x:mergeCell ref="B39:G39"/>
    <x:mergeCell ref="H39:M39"/>
    <x:mergeCell ref="N39:S39"/>
    <x:mergeCell ref="T39:AY39"/>
    <x:mergeCell ref="B40:G40"/>
    <x:mergeCell ref="H40:M40"/>
    <x:mergeCell ref="N40:S40"/>
    <x:mergeCell ref="T40:AY40"/>
  </x:mergeCells>
  <x:pageMargins left="0.7" right="0.7" top="0.75" bottom="0.75" header="0.3" footer="0.3"/>
  <x:drawing xmlns:r="http://schemas.openxmlformats.org/officeDocument/2006/relationships" r:id="Ra062f04ff77a4b33"/>
</x:worksheet>
</file>