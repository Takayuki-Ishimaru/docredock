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ae88a145c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506093196fde4da2"/>
    <x:sheet xmlns:r="http://schemas.openxmlformats.org/officeDocument/2006/relationships" name="API設計" sheetId="2" r:id="R5fb629a24e7743a3"/>
    <x:sheet xmlns:r="http://schemas.openxmlformats.org/officeDocument/2006/relationships" name="DB設計" sheetId="3" r:id="R5716fb8accb74788"/>
    <x:sheet xmlns:r="http://schemas.openxmlformats.org/officeDocument/2006/relationships" name="非機能要件" sheetId="4" r:id="R87dcd9ea945d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2033"/>
      <x:name val="Carlito"/>
    </x:font>
    <x:font>
      <x:b/>
      <x:sz val="11"/>
      <x:color rgb="FF172033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F5F7FA"/>
      </x:patternFill>
    </x:fill>
    <x:fill>
      <x:patternFill patternType="solid">
        <x:fgColor rgb="FF2563EB"/>
      </x:patternFill>
    </x:fill>
  </x:fills>
  <x:borders count="11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7" xfId="0" applyNumberFormat="1" applyFont="1" applyFill="1" applyBorder="1"/>
    <x:xf numFmtId="201" fontId="0" fillId="0" borderId="3" xfId="0" applyNumberFormat="1" applyFont="1" applyFill="1" applyBorder="1"/>
    <x:xf numFmtId="201" fontId="0" fillId="0" borderId="5" xfId="0" applyNumberFormat="1" applyFont="1" applyFill="1" applyBorder="1"/>
    <x:xf numFmtId="202" fontId="0" fillId="0" borderId="8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9" xfId="0" applyNumberFormat="1" applyFont="1" applyFill="1" applyBorder="1"/>
    <x:xf numFmtId="0" fontId="4" fillId="5" borderId="9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10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200" fontId="5" fillId="0" borderId="7" xfId="0" applyNumberFormat="1" applyFont="1" applyFill="1" applyBorder="1" applyAlignment="1">
      <x:alignment vertical="center" wrapText="1"/>
    </x:xf>
    <x:xf numFmtId="200" fontId="5" fillId="0" borderId="10" xfId="0" applyNumberFormat="1" applyFont="1" applyFill="1" applyBorder="1" applyAlignment="1">
      <x:alignment vertical="center" wrapText="1"/>
    </x:xf>
    <x:xf numFmtId="201" fontId="5" fillId="0" borderId="7" xfId="0" applyNumberFormat="1" applyFont="1" applyFill="1" applyBorder="1" applyAlignment="1">
      <x:alignment vertical="center" wrapText="1"/>
    </x:xf>
    <x:xf numFmtId="201" fontId="5" fillId="0" borderId="10" xfId="0" applyNumberFormat="1" applyFont="1" applyFill="1" applyBorder="1" applyAlignment="1">
      <x:alignment vertical="center" wrapText="1"/>
    </x:xf>
    <x:xf numFmtId="202" fontId="5" fillId="0" borderId="7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c374809124f39" /><Relationship Type="http://schemas.openxmlformats.org/officeDocument/2006/relationships/theme" Target="/xl/theme/theme1.xml" Id="Rd842efe6d997419c" /><Relationship Type="http://schemas.openxmlformats.org/officeDocument/2006/relationships/sharedStrings" Target="/xl/sharedStrings.xml" Id="R2b10d2d8b8704eb2" /><Relationship Type="http://schemas.openxmlformats.org/officeDocument/2006/relationships/worksheet" Target="/xl/worksheets/sheet1.xml" Id="R506093196fde4da2" /><Relationship Type="http://schemas.openxmlformats.org/officeDocument/2006/relationships/worksheet" Target="/xl/worksheets/sheet2.xml" Id="R5fb629a24e7743a3" /><Relationship Type="http://schemas.openxmlformats.org/officeDocument/2006/relationships/worksheet" Target="/xl/worksheets/sheet3.xml" Id="R5716fb8accb74788" /><Relationship Type="http://schemas.openxmlformats.org/officeDocument/2006/relationships/worksheet" Target="/xl/worksheets/sheet4.xml" Id="R87dcd9ea945d446c" /></Relationships>
</file>

<file path=xl/tables/table1.xml><?xml version="1.0" encoding="utf-8"?>
<x:table xmlns:x="http://schemas.openxmlformats.org/spreadsheetml/2006/main" id="1" name="ArchitectureLayers" displayName="ArchitectureLayers" ref="A11:H15" headerRowCount="1" totalsRowCount="0" totalsRowShown="0">
  <x:tableColumns count="8">
    <x:tableColumn id="1" name="レイヤー"/>
    <x:tableColumn id="2" name="コンポーネント"/>
    <x:tableColumn id="3" name="責務"/>
    <x:tableColumn id="4" name="技術"/>
    <x:tableColumn id="5" name="スケール方式"/>
    <x:tableColumn id="6" name="オーナー"/>
    <x:tableColumn id="7" name="可用性"/>
    <x:tableColumn id="8" name="セキュリティ境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hitectureDecisions" displayName="ArchitectureDecisions" ref="A18:H21" headerRowCount="1" totalsRowCount="0" totalsRowShown="0">
  <x:tableColumns count="8">
    <x:tableColumn id="1" name="ADR"/>
    <x:tableColumn id="2" name="決定"/>
    <x:tableColumn id="3" name="理由"/>
    <x:tableColumn id="4" name="状態"/>
    <x:tableColumn id="5" name="オーナー"/>
    <x:tableColumn id="6" name="決定日"/>
    <x:tableColumn id="7" name="影響"/>
    <x:tableColumn id="8" name="次回レビュ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iDesignTable" displayName="ApiDesignTable" ref="A4:I10" headerRowCount="1" totalsRowCount="0" totalsRowShown="0">
  <x:tableColumns count="9">
    <x:tableColumn id="1" name="API ID"/>
    <x:tableColumn id="2" name="Method"/>
    <x:tableColumn id="3" name="Path"/>
    <x:tableColumn id="4" name="概要"/>
    <x:tableColumn id="5" name="認証"/>
    <x:tableColumn id="6" name="Request Schema"/>
    <x:tableColumn id="7" name="Response"/>
    <x:tableColumn id="8" name="SLA (ms)"/>
    <x:tableColumn id="9" name="Own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baseDesignTable" displayName="DatabaseDesignTable" ref="A4:I21" headerRowCount="1" totalsRowCount="0" totalsRowShown="0">
  <x:tableColumns count="9">
    <x:tableColumn id="1" name="Table"/>
    <x:tableColumn id="2" name="Column"/>
    <x:tableColumn id="3" name="Type"/>
    <x:tableColumn id="4" name="Nullable"/>
    <x:tableColumn id="5" name="Key"/>
    <x:tableColumn id="6" name="FK"/>
    <x:tableColumn id="7" name="Default"/>
    <x:tableColumn id="8" name="Index"/>
    <x:tableColumn id="9" name="Descri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onFunctionalRequirements" displayName="NonFunctionalRequirements" ref="A4:H11" headerRowCount="1" totalsRowCount="0" totalsRowShown="0">
  <x:tableColumns count="8">
    <x:tableColumn id="1" name="NFR ID"/>
    <x:tableColumn id="2" name="カテゴリ"/>
    <x:tableColumn id="3" name="メトリクス"/>
    <x:tableColumn id="4" name="目標値"/>
    <x:tableColumn id="5" name="単位"/>
    <x:tableColumn id="6" name="計測方法"/>
    <x:tableColumn id="7" name="優先度"/>
    <x:tableColumn id="8" name="状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1c5e7ae99b485e" /><Relationship Type="http://schemas.openxmlformats.org/officeDocument/2006/relationships/table" Target="/xl/tables/table2.xml" Id="R887447aa78c24d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a67274c72a44c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016e8e62f86142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75cf5e0eec2445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3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3" t="str">
        <x:v>注文管理プラットフォーム システム設計書</x:v>
      </x:c>
      <x:c r="B1" s="43"/>
      <x:c r="C1" s="43"/>
      <x:c r="D1" s="43"/>
      <x:c r="E1" s="43"/>
      <x:c r="F1" s="43"/>
      <x:c r="G1" s="43"/>
      <x:c r="H1" s="43"/>
    </x:row>
    <x:row r="2" ht="24" customHeight="1">
      <x:c r="A2" s="44" t="str">
        <x:v>レビュー用サンプル — 複数シート、参照式、入力規則を含む設計資料</x:v>
      </x:c>
      <x:c r="B2" s="44"/>
      <x:c r="C2" s="44"/>
      <x:c r="D2" s="44"/>
      <x:c r="E2" s="44"/>
      <x:c r="F2" s="44"/>
      <x:c r="G2" s="44"/>
      <x:c r="H2" s="44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46" t="str">
        <x:v>文書ID</x:v>
      </x:c>
      <x:c r="B4" s="47" t="str">
        <x:v>ARCH-OMS-001</x:v>
      </x:c>
      <x:c r="C4" s="47"/>
      <x:c r="D4" s="48" t="str">
        <x:v>API数</x:v>
      </x:c>
      <x:c r="E4" s="49" t="n">
        <x:f>COUNTA('API設計'!$A$5:$A$10)</x:f>
        <x:v>6</x:v>
      </x:c>
      <x:c r="F4" s="45"/>
      <x:c r="G4" s="45"/>
      <x:c r="H4" s="45"/>
    </x:row>
    <x:row r="5">
      <x:c r="A5" s="50" t="str">
        <x:v>対象システム</x:v>
      </x:c>
      <x:c r="B5" s="45" t="str">
        <x:v>注文管理プラットフォーム</x:v>
      </x:c>
      <x:c r="C5" s="45"/>
      <x:c r="D5" s="51" t="str">
        <x:v>DB定義行数</x:v>
      </x:c>
      <x:c r="E5" s="52" t="n">
        <x:f>COUNTA('DB設計'!$A$5:$A$21)</x:f>
        <x:v>17</x:v>
      </x:c>
      <x:c r="F5" s="45"/>
      <x:c r="G5" s="45"/>
      <x:c r="H5" s="45"/>
    </x:row>
    <x:row r="6">
      <x:c r="A6" s="50" t="str">
        <x:v>版</x:v>
      </x:c>
      <x:c r="B6" s="45" t="str">
        <x:v>1.2</x:v>
      </x:c>
      <x:c r="C6" s="45"/>
      <x:c r="D6" s="51" t="str">
        <x:v>未対応の非機能要件</x:v>
      </x:c>
      <x:c r="E6" s="52" t="n">
        <x:f>COUNTIF('非機能要件'!$H$5:$H$11,"未対応")</x:f>
        <x:v>2</x:v>
      </x:c>
      <x:c r="F6" s="45"/>
      <x:c r="G6" s="45"/>
      <x:c r="H6" s="45"/>
    </x:row>
    <x:row r="7">
      <x:c r="A7" s="53" t="str">
        <x:v>更新日</x:v>
      </x:c>
      <x:c r="B7" s="54" t="n">
        <x:v>46256</x:v>
      </x:c>
      <x:c r="C7" s="55"/>
      <x:c r="D7" s="56" t="str">
        <x:v>可用性目標</x:v>
      </x:c>
      <x:c r="E7" s="57" t="n">
        <x:f>'非機能要件'!D5</x:f>
        <x:v>0.9995</x:v>
      </x:c>
      <x:c r="F7" s="45"/>
      <x:c r="G7" s="45"/>
      <x:c r="H7" s="45"/>
    </x:row>
    <x:row r="8">
      <x:c r="A8" s="45"/>
      <x:c r="B8" s="45"/>
      <x:c r="C8" s="45"/>
      <x:c r="D8" s="45"/>
      <x:c r="E8" s="45"/>
      <x:c r="F8" s="45"/>
      <x:c r="G8" s="45"/>
      <x:c r="H8" s="45"/>
    </x:row>
    <x:row r="9">
      <x:c r="A9" s="45"/>
      <x:c r="B9" s="45"/>
      <x:c r="C9" s="45"/>
      <x:c r="D9" s="45"/>
      <x:c r="E9" s="45"/>
      <x:c r="F9" s="45"/>
      <x:c r="G9" s="45"/>
      <x:c r="H9" s="45"/>
    </x:row>
    <x:row r="10" ht="23" customHeight="1">
      <x:c r="A10" s="58" t="str">
        <x:v>アーキテクチャ構成</x:v>
      </x:c>
      <x:c r="B10" s="58"/>
      <x:c r="C10" s="58"/>
      <x:c r="D10" s="58"/>
      <x:c r="E10" s="58"/>
      <x:c r="F10" s="58"/>
      <x:c r="G10" s="58"/>
      <x:c r="H10" s="58"/>
    </x:row>
    <x:row r="11" ht="28" customHeight="1">
      <x:c r="A11" s="30" t="str">
        <x:v>レイヤー</x:v>
      </x:c>
      <x:c r="B11" s="30" t="str">
        <x:v>コンポーネント</x:v>
      </x:c>
      <x:c r="C11" s="30" t="str">
        <x:v>責務</x:v>
      </x:c>
      <x:c r="D11" s="30" t="str">
        <x:v>技術</x:v>
      </x:c>
      <x:c r="E11" s="30" t="str">
        <x:v>スケール方式</x:v>
      </x:c>
      <x:c r="F11" s="30" t="str">
        <x:v>オーナー</x:v>
      </x:c>
      <x:c r="G11" s="30" t="str">
        <x:v>可用性</x:v>
      </x:c>
      <x:c r="H11" s="30" t="str">
        <x:v>セキュリティ境界</x:v>
      </x:c>
    </x:row>
    <x:row r="12" ht="36" customHeight="1">
      <x:c r="A12" s="36" t="str">
        <x:v>Edge</x:v>
      </x:c>
      <x:c r="B12" s="36" t="str">
        <x:v>API Gateway</x:v>
      </x:c>
      <x:c r="C12" s="36" t="str">
        <x:v>認証・流量制御・ルーティング</x:v>
      </x:c>
      <x:c r="D12" s="36" t="str">
        <x:v>Managed Gateway</x:v>
      </x:c>
      <x:c r="E12" s="36" t="str">
        <x:v>リージョン冗長</x:v>
      </x:c>
      <x:c r="F12" s="36" t="str">
        <x:v>Platform</x:v>
      </x:c>
      <x:c r="G12" s="36" t="str">
        <x:v>99.99%</x:v>
      </x:c>
      <x:c r="H12" s="36" t="str">
        <x:v>Public / OAuth2</x:v>
      </x:c>
    </x:row>
    <x:row r="13" ht="36" customHeight="1">
      <x:c r="A13" s="37" t="str">
        <x:v>Application</x:v>
      </x:c>
      <x:c r="B13" s="37" t="str">
        <x:v>Order API</x:v>
      </x:c>
      <x:c r="C13" s="37" t="str">
        <x:v>注文受付・状態遷移</x:v>
      </x:c>
      <x:c r="D13" s="37" t="str">
        <x:v>.NET 10</x:v>
      </x:c>
      <x:c r="E13" s="37" t="str">
        <x:v>水平スケール</x:v>
      </x:c>
      <x:c r="F13" s="37" t="str">
        <x:v>Order Team</x:v>
      </x:c>
      <x:c r="G13" s="37" t="str">
        <x:v>99.95%</x:v>
      </x:c>
      <x:c r="H13" s="37" t="str">
        <x:v>Private subnet</x:v>
      </x:c>
    </x:row>
    <x:row r="14" ht="36" customHeight="1">
      <x:c r="A14" s="37" t="str">
        <x:v>Domain</x:v>
      </x:c>
      <x:c r="B14" s="37" t="str">
        <x:v>Order Worker</x:v>
      </x:c>
      <x:c r="C14" s="37" t="str">
        <x:v>在庫引当・非同期処理</x:v>
      </x:c>
      <x:c r="D14" s="37" t="str">
        <x:v>.NET Worker</x:v>
      </x:c>
      <x:c r="E14" s="37" t="str">
        <x:v>キュー長連動</x:v>
      </x:c>
      <x:c r="F14" s="37" t="str">
        <x:v>Order Team</x:v>
      </x:c>
      <x:c r="G14" s="37" t="str">
        <x:v>99.90%</x:v>
      </x:c>
      <x:c r="H14" s="37" t="str">
        <x:v>Private subnet</x:v>
      </x:c>
    </x:row>
    <x:row r="15" ht="36" customHeight="1">
      <x:c r="A15" s="37" t="str">
        <x:v>Data</x:v>
      </x:c>
      <x:c r="B15" s="37" t="str">
        <x:v>Order DB</x:v>
      </x:c>
      <x:c r="C15" s="37" t="str">
        <x:v>注文・明細・Outbox永続化</x:v>
      </x:c>
      <x:c r="D15" s="37" t="str">
        <x:v>PostgreSQL 17</x:v>
      </x:c>
      <x:c r="E15" s="37" t="str">
        <x:v>Multi-AZ</x:v>
      </x:c>
      <x:c r="F15" s="37" t="str">
        <x:v>Data Team</x:v>
      </x:c>
      <x:c r="G15" s="37" t="str">
        <x:v>99.99%</x:v>
      </x:c>
      <x:c r="H15" s="37" t="str">
        <x:v>Encrypted storage</x:v>
      </x:c>
    </x:row>
    <x:row r="16" ht="36" customHeight="1">
      <x:c r="A16" s="45"/>
      <x:c r="B16" s="45"/>
      <x:c r="C16" s="45"/>
      <x:c r="D16" s="45"/>
      <x:c r="E16" s="45"/>
      <x:c r="F16" s="45"/>
      <x:c r="G16" s="45"/>
      <x:c r="H16" s="45"/>
    </x:row>
    <x:row r="17" ht="36" customHeight="1">
      <x:c r="A17" s="58" t="str">
        <x:v>主要アーキテクチャ決定</x:v>
      </x:c>
      <x:c r="B17" s="58"/>
      <x:c r="C17" s="58"/>
      <x:c r="D17" s="58"/>
      <x:c r="E17" s="58"/>
      <x:c r="F17" s="58"/>
      <x:c r="G17" s="58"/>
      <x:c r="H17" s="58"/>
    </x:row>
    <x:row r="18" ht="36" customHeight="1">
      <x:c r="A18" s="30" t="str">
        <x:v>ADR</x:v>
      </x:c>
      <x:c r="B18" s="30" t="str">
        <x:v>決定</x:v>
      </x:c>
      <x:c r="C18" s="30" t="str">
        <x:v>理由</x:v>
      </x:c>
      <x:c r="D18" s="30" t="str">
        <x:v>状態</x:v>
      </x:c>
      <x:c r="E18" s="30" t="str">
        <x:v>オーナー</x:v>
      </x:c>
      <x:c r="F18" s="30" t="str">
        <x:v>決定日</x:v>
      </x:c>
      <x:c r="G18" s="30" t="str">
        <x:v>影響</x:v>
      </x:c>
      <x:c r="H18" s="30" t="str">
        <x:v>次回レビュー</x:v>
      </x:c>
    </x:row>
    <x:row r="19" ht="36" customHeight="1">
      <x:c r="A19" s="36" t="str">
        <x:v>ADR-001</x:v>
      </x:c>
      <x:c r="B19" s="36" t="str">
        <x:v>Outboxパターンを採用</x:v>
      </x:c>
      <x:c r="C19" s="36" t="str">
        <x:v>DB更新とイベント発行の不整合を防止</x:v>
      </x:c>
      <x:c r="D19" s="36" t="str">
        <x:v>承認済</x:v>
      </x:c>
      <x:c r="E19" s="36" t="str">
        <x:v>Order Team</x:v>
      </x:c>
      <x:c r="F19" s="38" t="n">
        <x:v>46205</x:v>
      </x:c>
      <x:c r="G19" s="36" t="str">
        <x:v>書込経路にOutboxテーブルを追加</x:v>
      </x:c>
      <x:c r="H19" s="38" t="n">
        <x:v>46402</x:v>
      </x:c>
    </x:row>
    <x:row r="20" ht="36" customHeight="1">
      <x:c r="A20" s="37" t="str">
        <x:v>ADR-002</x:v>
      </x:c>
      <x:c r="B20" s="37" t="str">
        <x:v>APIを同期受付・非同期処理に分離</x:v>
      </x:c>
      <x:c r="C20" s="37" t="str">
        <x:v>ピーク負荷と外部連携遅延を吸収</x:v>
      </x:c>
      <x:c r="D20" s="37" t="str">
        <x:v>承認済</x:v>
      </x:c>
      <x:c r="E20" s="37" t="str">
        <x:v>Platform</x:v>
      </x:c>
      <x:c r="F20" s="39" t="n">
        <x:v>46221</x:v>
      </x:c>
      <x:c r="G20" s="37" t="str">
        <x:v>202 Acceptedと状態照会APIが必要</x:v>
      </x:c>
      <x:c r="H20" s="39" t="n">
        <x:v>46402</x:v>
      </x:c>
    </x:row>
    <x:row r="21" ht="36" customHeight="1">
      <x:c r="A21" s="37" t="str">
        <x:v>ADR-003</x:v>
      </x:c>
      <x:c r="B21" s="37" t="str">
        <x:v>注文IDはULID</x:v>
      </x:c>
      <x:c r="C21" s="37" t="str">
        <x:v>時系列ソートと分散採番を両立</x:v>
      </x:c>
      <x:c r="D21" s="37" t="str">
        <x:v>レビュー中</x:v>
      </x:c>
      <x:c r="E21" s="37" t="str">
        <x:v>Data Team</x:v>
      </x:c>
      <x:c r="F21" s="39" t="n">
        <x:v>46244</x:v>
      </x:c>
      <x:c r="G21" s="37" t="str">
        <x:v>既存UUID連携先の互換性確認</x:v>
      </x:c>
      <x:c r="H21" s="39" t="n">
        <x:v>46280</x:v>
      </x:c>
    </x:row>
  </x:sheetData>
  <x:mergeCells>
    <x:mergeCell ref="A1:H1"/>
    <x:mergeCell ref="A2:H2"/>
    <x:mergeCell ref="A10:H10"/>
    <x:mergeCell ref="A17:H17"/>
  </x:mergeCells>
  <x:dataValidations count="1">
    <x:dataValidation type="list" sqref="D19:D21">
      <x:formula1>"承認済,レビュー中,却下"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91c5e7ae99b485e"/>
    <x:tablePart xmlns:r="http://schemas.openxmlformats.org/officeDocument/2006/relationships" r:id="R887447aa78c24d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30" hidden="0" customWidth="1"/>
    <x:col min="4" max="4" width="25" hidden="0" customWidth="1"/>
    <x:col min="5" max="5" width="24" hidden="0" customWidth="1"/>
    <x:col min="6" max="6" width="24" hidden="0" customWidth="1"/>
    <x:col min="7" max="7" width="24" hidden="0" customWidth="1"/>
    <x:col min="8" max="8" width="12" hidden="0" customWidth="1"/>
    <x:col min="9" max="9" width="18" hidden="0" customWidth="1"/>
  </x:cols>
  <x:sheetData>
    <x:row r="1" ht="32" customHeight="1">
      <x:c r="A1" s="3" t="str">
        <x:v>API設計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6" t="str">
        <x:v>外部公開・内部利用APIの契約、認証、応答時間目標を管理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30" t="str">
        <x:v>API ID</x:v>
      </x:c>
      <x:c r="B4" s="30" t="str">
        <x:v>Method</x:v>
      </x:c>
      <x:c r="C4" s="30" t="str">
        <x:v>Path</x:v>
      </x:c>
      <x:c r="D4" s="30" t="str">
        <x:v>概要</x:v>
      </x:c>
      <x:c r="E4" s="30" t="str">
        <x:v>認証</x:v>
      </x:c>
      <x:c r="F4" s="30" t="str">
        <x:v>Request Schema</x:v>
      </x:c>
      <x:c r="G4" s="30" t="str">
        <x:v>Response</x:v>
      </x:c>
      <x:c r="H4" s="30" t="str">
        <x:v>SLA (ms)</x:v>
      </x:c>
      <x:c r="I4" s="30" t="str">
        <x:v>Owner</x:v>
      </x:c>
    </x:row>
    <x:row r="5" ht="34" customHeight="1">
      <x:c r="A5" s="36" t="str">
        <x:v>API-001</x:v>
      </x:c>
      <x:c r="B5" s="36" t="str">
        <x:v>POST</x:v>
      </x:c>
      <x:c r="C5" s="36" t="str">
        <x:v>/v1/orders</x:v>
      </x:c>
      <x:c r="D5" s="36" t="str">
        <x:v>注文を受け付ける</x:v>
      </x:c>
      <x:c r="E5" s="36" t="str">
        <x:v>OAuth2 orders.write</x:v>
      </x:c>
      <x:c r="F5" s="36" t="str">
        <x:v>CreateOrderRequest</x:v>
      </x:c>
      <x:c r="G5" s="36" t="str">
        <x:v>202 OrderAccepted</x:v>
      </x:c>
      <x:c r="H5" s="40" t="n">
        <x:v>300</x:v>
      </x:c>
      <x:c r="I5" s="36" t="str">
        <x:v>Order Team</x:v>
      </x:c>
    </x:row>
    <x:row r="6" ht="34" customHeight="1">
      <x:c r="A6" s="37" t="str">
        <x:v>API-002</x:v>
      </x:c>
      <x:c r="B6" s="37" t="str">
        <x:v>GET</x:v>
      </x:c>
      <x:c r="C6" s="37" t="str">
        <x:v>/v1/orders/{orderId}</x:v>
      </x:c>
      <x:c r="D6" s="37" t="str">
        <x:v>注文状態を取得</x:v>
      </x:c>
      <x:c r="E6" s="37" t="str">
        <x:v>OAuth2 orders.read</x:v>
      </x:c>
      <x:c r="F6" s="37" t="str">
        <x:v>Path: orderId</x:v>
      </x:c>
      <x:c r="G6" s="37" t="str">
        <x:v>200 Order</x:v>
      </x:c>
      <x:c r="H6" s="41" t="n">
        <x:v>200</x:v>
      </x:c>
      <x:c r="I6" s="37" t="str">
        <x:v>Order Team</x:v>
      </x:c>
    </x:row>
    <x:row r="7" ht="34" customHeight="1">
      <x:c r="A7" s="37" t="str">
        <x:v>API-003</x:v>
      </x:c>
      <x:c r="B7" s="37" t="str">
        <x:v>POST</x:v>
      </x:c>
      <x:c r="C7" s="37" t="str">
        <x:v>/v1/orders/{orderId}/cancel</x:v>
      </x:c>
      <x:c r="D7" s="37" t="str">
        <x:v>未出荷注文を取消</x:v>
      </x:c>
      <x:c r="E7" s="37" t="str">
        <x:v>OAuth2 orders.write</x:v>
      </x:c>
      <x:c r="F7" s="37" t="str">
        <x:v>CancelOrderRequest</x:v>
      </x:c>
      <x:c r="G7" s="37" t="str">
        <x:v>202 OrderAccepted</x:v>
      </x:c>
      <x:c r="H7" s="41" t="n">
        <x:v>300</x:v>
      </x:c>
      <x:c r="I7" s="37" t="str">
        <x:v>Order Team</x:v>
      </x:c>
    </x:row>
    <x:row r="8" ht="34" customHeight="1">
      <x:c r="A8" s="37" t="str">
        <x:v>API-004</x:v>
      </x:c>
      <x:c r="B8" s="37" t="str">
        <x:v>GET</x:v>
      </x:c>
      <x:c r="C8" s="37" t="str">
        <x:v>/v1/orders</x:v>
      </x:c>
      <x:c r="D8" s="37" t="str">
        <x:v>顧客別注文一覧</x:v>
      </x:c>
      <x:c r="E8" s="37" t="str">
        <x:v>OAuth2 orders.read</x:v>
      </x:c>
      <x:c r="F8" s="37" t="str">
        <x:v>Query: customerId,cursor</x:v>
      </x:c>
      <x:c r="G8" s="37" t="str">
        <x:v>200 OrderPage</x:v>
      </x:c>
      <x:c r="H8" s="41" t="n">
        <x:v>400</x:v>
      </x:c>
      <x:c r="I8" s="37" t="str">
        <x:v>Order Team</x:v>
      </x:c>
    </x:row>
    <x:row r="9" ht="34" customHeight="1">
      <x:c r="A9" s="37" t="str">
        <x:v>API-005</x:v>
      </x:c>
      <x:c r="B9" s="37" t="str">
        <x:v>POST</x:v>
      </x:c>
      <x:c r="C9" s="37" t="str">
        <x:v>/internal/v1/reservations</x:v>
      </x:c>
      <x:c r="D9" s="37" t="str">
        <x:v>在庫引当を要求</x:v>
      </x:c>
      <x:c r="E9" s="37" t="str">
        <x:v>mTLS</x:v>
      </x:c>
      <x:c r="F9" s="37" t="str">
        <x:v>ReservationRequest</x:v>
      </x:c>
      <x:c r="G9" s="37" t="str">
        <x:v>202 ReservationAccepted</x:v>
      </x:c>
      <x:c r="H9" s="41" t="n">
        <x:v>500</x:v>
      </x:c>
      <x:c r="I9" s="37" t="str">
        <x:v>Inventory Team</x:v>
      </x:c>
    </x:row>
    <x:row r="10" ht="34" customHeight="1">
      <x:c r="A10" s="37" t="str">
        <x:v>API-006</x:v>
      </x:c>
      <x:c r="B10" s="37" t="str">
        <x:v>GET</x:v>
      </x:c>
      <x:c r="C10" s="37" t="str">
        <x:v>/health/ready</x:v>
      </x:c>
      <x:c r="D10" s="37" t="str">
        <x:v>依存先を含むReady判定</x:v>
      </x:c>
      <x:c r="E10" s="37" t="str">
        <x:v>Network allowlist</x:v>
      </x:c>
      <x:c r="F10" s="37" t="str">
        <x:v>None</x:v>
      </x:c>
      <x:c r="G10" s="37" t="str">
        <x:v>200/503 Health</x:v>
      </x:c>
      <x:c r="H10" s="41" t="n">
        <x:v>100</x:v>
      </x:c>
      <x:c r="I10" s="37" t="str">
        <x:v>Platform</x:v>
      </x:c>
    </x:row>
  </x:sheetData>
  <x:mergeCells>
    <x:mergeCell ref="A1:I1"/>
    <x:mergeCell ref="A2:I2"/>
  </x:mergeCells>
  <x:dataValidations count="1">
    <x:dataValidation type="list" sqref="B5:B10">
      <x:formula1>"GET,POST,PUT,PATCH,DELETE"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67274c72a44c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2" hidden="0" customWidth="1"/>
    <x:col min="5" max="5" width="12" hidden="0" customWidth="1"/>
    <x:col min="6" max="6" width="24" hidden="0" customWidth="1"/>
    <x:col min="7" max="7" width="24" hidden="0" customWidth="1"/>
    <x:col min="8" max="8" width="24" hidden="0" customWidth="1"/>
    <x:col min="9" max="9" width="30" hidden="0" customWidth="1"/>
  </x:cols>
  <x:sheetData>
    <x:row r="1" ht="32" customHeight="1">
      <x:c r="A1" s="3" t="str">
        <x:v>DB設計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6" t="str">
        <x:v>注文トランザクション境界内の主要テーブル・列・索引を定義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30" t="str">
        <x:v>Table</x:v>
      </x:c>
      <x:c r="B4" s="30" t="str">
        <x:v>Column</x:v>
      </x:c>
      <x:c r="C4" s="30" t="str">
        <x:v>Type</x:v>
      </x:c>
      <x:c r="D4" s="30" t="str">
        <x:v>Nullable</x:v>
      </x:c>
      <x:c r="E4" s="30" t="str">
        <x:v>Key</x:v>
      </x:c>
      <x:c r="F4" s="30" t="str">
        <x:v>FK</x:v>
      </x:c>
      <x:c r="G4" s="30" t="str">
        <x:v>Default</x:v>
      </x:c>
      <x:c r="H4" s="30" t="str">
        <x:v>Index</x:v>
      </x:c>
      <x:c r="I4" s="30" t="str">
        <x:v>Description</x:v>
      </x:c>
    </x:row>
    <x:row r="5" ht="30" customHeight="1">
      <x:c r="A5" s="36" t="str">
        <x:v>orders</x:v>
      </x:c>
      <x:c r="B5" s="36" t="str">
        <x:v>order_id</x:v>
      </x:c>
      <x:c r="C5" s="36" t="str">
        <x:v>char(26)</x:v>
      </x:c>
      <x:c r="D5" s="36" t="str">
        <x:v>NO</x:v>
      </x:c>
      <x:c r="E5" s="36" t="str">
        <x:v>PK</x:v>
      </x:c>
      <x:c r="F5" s="36" t="str"/>
      <x:c r="G5" s="36" t="str"/>
      <x:c r="H5" s="36" t="str">
        <x:v>orders_pkey</x:v>
      </x:c>
      <x:c r="I5" s="36" t="str">
        <x:v>ULID形式の注文ID</x:v>
      </x:c>
    </x:row>
    <x:row r="6" ht="30" customHeight="1">
      <x:c r="A6" s="37" t="str">
        <x:v>orders</x:v>
      </x:c>
      <x:c r="B6" s="37" t="str">
        <x:v>customer_id</x:v>
      </x:c>
      <x:c r="C6" s="37" t="str">
        <x:v>varchar(64)</x:v>
      </x:c>
      <x:c r="D6" s="37" t="str">
        <x:v>NO</x:v>
      </x:c>
      <x:c r="E6" s="37" t="str"/>
      <x:c r="F6" s="37" t="str"/>
      <x:c r="G6" s="37" t="str"/>
      <x:c r="H6" s="37" t="str">
        <x:v>idx_orders_customer_created</x:v>
      </x:c>
      <x:c r="I6" s="37" t="str">
        <x:v>顧客ID</x:v>
      </x:c>
    </x:row>
    <x:row r="7" ht="30" customHeight="1">
      <x:c r="A7" s="37" t="str">
        <x:v>orders</x:v>
      </x:c>
      <x:c r="B7" s="37" t="str">
        <x:v>status</x:v>
      </x:c>
      <x:c r="C7" s="37" t="str">
        <x:v>varchar(24)</x:v>
      </x:c>
      <x:c r="D7" s="37" t="str">
        <x:v>NO</x:v>
      </x:c>
      <x:c r="E7" s="37" t="str"/>
      <x:c r="F7" s="37" t="str"/>
      <x:c r="G7" s="37" t="str">
        <x:v>'accepted'</x:v>
      </x:c>
      <x:c r="H7" s="37" t="str">
        <x:v>idx_orders_status</x:v>
      </x:c>
      <x:c r="I7" s="37" t="str">
        <x:v>注文状態</x:v>
      </x:c>
    </x:row>
    <x:row r="8" ht="30" customHeight="1">
      <x:c r="A8" s="37" t="str">
        <x:v>orders</x:v>
      </x:c>
      <x:c r="B8" s="37" t="str">
        <x:v>currency</x:v>
      </x:c>
      <x:c r="C8" s="37" t="str">
        <x:v>char(3)</x:v>
      </x:c>
      <x:c r="D8" s="37" t="str">
        <x:v>NO</x:v>
      </x:c>
      <x:c r="E8" s="37" t="str"/>
      <x:c r="F8" s="37" t="str"/>
      <x:c r="G8" s="37" t="str">
        <x:v>'JPY'</x:v>
      </x:c>
      <x:c r="H8" s="37" t="str"/>
      <x:c r="I8" s="37" t="str">
        <x:v>ISO 4217通貨コード</x:v>
      </x:c>
    </x:row>
    <x:row r="9" ht="30" customHeight="1">
      <x:c r="A9" s="37" t="str">
        <x:v>orders</x:v>
      </x:c>
      <x:c r="B9" s="37" t="str">
        <x:v>total_amount</x:v>
      </x:c>
      <x:c r="C9" s="37" t="str">
        <x:v>numeric(14,2)</x:v>
      </x:c>
      <x:c r="D9" s="37" t="str">
        <x:v>NO</x:v>
      </x:c>
      <x:c r="E9" s="37" t="str"/>
      <x:c r="F9" s="37" t="str"/>
      <x:c r="G9" s="37" t="str">
        <x:v>0</x:v>
      </x:c>
      <x:c r="H9" s="37" t="str"/>
      <x:c r="I9" s="37" t="str">
        <x:v>税込合計金額</x:v>
      </x:c>
    </x:row>
    <x:row r="10" ht="30" customHeight="1">
      <x:c r="A10" s="37" t="str">
        <x:v>orders</x:v>
      </x:c>
      <x:c r="B10" s="37" t="str">
        <x:v>version</x:v>
      </x:c>
      <x:c r="C10" s="37" t="str">
        <x:v>integer</x:v>
      </x:c>
      <x:c r="D10" s="37" t="str">
        <x:v>NO</x:v>
      </x:c>
      <x:c r="E10" s="37" t="str"/>
      <x:c r="F10" s="37" t="str"/>
      <x:c r="G10" s="37" t="str">
        <x:v>1</x:v>
      </x:c>
      <x:c r="H10" s="37" t="str"/>
      <x:c r="I10" s="37" t="str">
        <x:v>楽観ロック用</x:v>
      </x:c>
    </x:row>
    <x:row r="11" ht="30" customHeight="1">
      <x:c r="A11" s="37" t="str">
        <x:v>orders</x:v>
      </x:c>
      <x:c r="B11" s="37" t="str">
        <x:v>created_at</x:v>
      </x:c>
      <x:c r="C11" s="37" t="str">
        <x:v>timestamptz</x:v>
      </x:c>
      <x:c r="D11" s="37" t="str">
        <x:v>NO</x:v>
      </x:c>
      <x:c r="E11" s="37" t="str"/>
      <x:c r="F11" s="37" t="str"/>
      <x:c r="G11" s="37" t="str">
        <x:v>now()</x:v>
      </x:c>
      <x:c r="H11" s="37" t="str">
        <x:v>idx_orders_customer_created</x:v>
      </x:c>
      <x:c r="I11" s="37" t="str">
        <x:v>作成日時</x:v>
      </x:c>
    </x:row>
    <x:row r="12" ht="30" customHeight="1">
      <x:c r="A12" s="37" t="str">
        <x:v>orders</x:v>
      </x:c>
      <x:c r="B12" s="37" t="str">
        <x:v>updated_at</x:v>
      </x:c>
      <x:c r="C12" s="37" t="str">
        <x:v>timestamptz</x:v>
      </x:c>
      <x:c r="D12" s="37" t="str">
        <x:v>NO</x:v>
      </x:c>
      <x:c r="E12" s="37" t="str"/>
      <x:c r="F12" s="37" t="str"/>
      <x:c r="G12" s="37" t="str">
        <x:v>now()</x:v>
      </x:c>
      <x:c r="H12" s="37" t="str"/>
      <x:c r="I12" s="37" t="str">
        <x:v>更新日時</x:v>
      </x:c>
    </x:row>
    <x:row r="13" ht="30" customHeight="1">
      <x:c r="A13" s="37" t="str">
        <x:v>order_items</x:v>
      </x:c>
      <x:c r="B13" s="37" t="str">
        <x:v>order_id</x:v>
      </x:c>
      <x:c r="C13" s="37" t="str">
        <x:v>char(26)</x:v>
      </x:c>
      <x:c r="D13" s="37" t="str">
        <x:v>NO</x:v>
      </x:c>
      <x:c r="E13" s="37" t="str">
        <x:v>PK</x:v>
      </x:c>
      <x:c r="F13" s="37" t="str">
        <x:v>orders.order_id</x:v>
      </x:c>
      <x:c r="G13" s="37" t="str"/>
      <x:c r="H13" s="37" t="str">
        <x:v>order_items_pkey</x:v>
      </x:c>
      <x:c r="I13" s="37" t="str">
        <x:v>注文ID</x:v>
      </x:c>
    </x:row>
    <x:row r="14" ht="30" customHeight="1">
      <x:c r="A14" s="37" t="str">
        <x:v>order_items</x:v>
      </x:c>
      <x:c r="B14" s="37" t="str">
        <x:v>line_no</x:v>
      </x:c>
      <x:c r="C14" s="37" t="str">
        <x:v>integer</x:v>
      </x:c>
      <x:c r="D14" s="37" t="str">
        <x:v>NO</x:v>
      </x:c>
      <x:c r="E14" s="37" t="str">
        <x:v>PK</x:v>
      </x:c>
      <x:c r="F14" s="37" t="str"/>
      <x:c r="G14" s="37" t="str"/>
      <x:c r="H14" s="37" t="str">
        <x:v>order_items_pkey</x:v>
      </x:c>
      <x:c r="I14" s="37" t="str">
        <x:v>明細行番号</x:v>
      </x:c>
    </x:row>
    <x:row r="15" ht="30" customHeight="1">
      <x:c r="A15" s="37" t="str">
        <x:v>order_items</x:v>
      </x:c>
      <x:c r="B15" s="37" t="str">
        <x:v>sku</x:v>
      </x:c>
      <x:c r="C15" s="37" t="str">
        <x:v>varchar(64)</x:v>
      </x:c>
      <x:c r="D15" s="37" t="str">
        <x:v>NO</x:v>
      </x:c>
      <x:c r="E15" s="37" t="str"/>
      <x:c r="F15" s="37" t="str"/>
      <x:c r="G15" s="37" t="str"/>
      <x:c r="H15" s="37" t="str">
        <x:v>idx_order_items_sku</x:v>
      </x:c>
      <x:c r="I15" s="37" t="str">
        <x:v>商品SKU</x:v>
      </x:c>
    </x:row>
    <x:row r="16" ht="30" customHeight="1">
      <x:c r="A16" s="37" t="str">
        <x:v>order_items</x:v>
      </x:c>
      <x:c r="B16" s="37" t="str">
        <x:v>quantity</x:v>
      </x:c>
      <x:c r="C16" s="37" t="str">
        <x:v>integer</x:v>
      </x:c>
      <x:c r="D16" s="37" t="str">
        <x:v>NO</x:v>
      </x:c>
      <x:c r="E16" s="37" t="str"/>
      <x:c r="F16" s="37" t="str"/>
      <x:c r="G16" s="37" t="str">
        <x:v>1</x:v>
      </x:c>
      <x:c r="H16" s="37" t="str"/>
      <x:c r="I16" s="37" t="str">
        <x:v>数量。1以上</x:v>
      </x:c>
    </x:row>
    <x:row r="17" ht="30" customHeight="1">
      <x:c r="A17" s="37" t="str">
        <x:v>order_items</x:v>
      </x:c>
      <x:c r="B17" s="37" t="str">
        <x:v>unit_price</x:v>
      </x:c>
      <x:c r="C17" s="37" t="str">
        <x:v>numeric(14,2)</x:v>
      </x:c>
      <x:c r="D17" s="37" t="str">
        <x:v>NO</x:v>
      </x:c>
      <x:c r="E17" s="37" t="str"/>
      <x:c r="F17" s="37" t="str"/>
      <x:c r="G17" s="37" t="str">
        <x:v>0</x:v>
      </x:c>
      <x:c r="H17" s="37" t="str"/>
      <x:c r="I17" s="37" t="str">
        <x:v>単価</x:v>
      </x:c>
    </x:row>
    <x:row r="18" ht="30" customHeight="1">
      <x:c r="A18" s="37" t="str">
        <x:v>outbox_events</x:v>
      </x:c>
      <x:c r="B18" s="37" t="str">
        <x:v>event_id</x:v>
      </x:c>
      <x:c r="C18" s="37" t="str">
        <x:v>uuid</x:v>
      </x:c>
      <x:c r="D18" s="37" t="str">
        <x:v>NO</x:v>
      </x:c>
      <x:c r="E18" s="37" t="str">
        <x:v>PK</x:v>
      </x:c>
      <x:c r="F18" s="37" t="str"/>
      <x:c r="G18" s="37" t="str">
        <x:v>gen_random_uuid()</x:v>
      </x:c>
      <x:c r="H18" s="37" t="str">
        <x:v>outbox_events_pkey</x:v>
      </x:c>
      <x:c r="I18" s="37" t="str">
        <x:v>イベントID</x:v>
      </x:c>
    </x:row>
    <x:row r="19" ht="30" customHeight="1">
      <x:c r="A19" s="37" t="str">
        <x:v>outbox_events</x:v>
      </x:c>
      <x:c r="B19" s="37" t="str">
        <x:v>aggregate_id</x:v>
      </x:c>
      <x:c r="C19" s="37" t="str">
        <x:v>char(26)</x:v>
      </x:c>
      <x:c r="D19" s="37" t="str">
        <x:v>NO</x:v>
      </x:c>
      <x:c r="E19" s="37" t="str"/>
      <x:c r="F19" s="37" t="str">
        <x:v>orders.order_id</x:v>
      </x:c>
      <x:c r="G19" s="37" t="str"/>
      <x:c r="H19" s="37" t="str">
        <x:v>idx_outbox_pending</x:v>
      </x:c>
      <x:c r="I19" s="37" t="str">
        <x:v>注文ID</x:v>
      </x:c>
    </x:row>
    <x:row r="20" ht="30" customHeight="1">
      <x:c r="A20" s="37" t="str">
        <x:v>outbox_events</x:v>
      </x:c>
      <x:c r="B20" s="37" t="str">
        <x:v>event_type</x:v>
      </x:c>
      <x:c r="C20" s="37" t="str">
        <x:v>varchar(128)</x:v>
      </x:c>
      <x:c r="D20" s="37" t="str">
        <x:v>NO</x:v>
      </x:c>
      <x:c r="E20" s="37" t="str"/>
      <x:c r="F20" s="37" t="str"/>
      <x:c r="G20" s="37" t="str"/>
      <x:c r="H20" s="37" t="str"/>
      <x:c r="I20" s="37" t="str">
        <x:v>イベント型</x:v>
      </x:c>
    </x:row>
    <x:row r="21" ht="30" customHeight="1">
      <x:c r="A21" s="37" t="str">
        <x:v>outbox_events</x:v>
      </x:c>
      <x:c r="B21" s="37" t="str">
        <x:v>payload</x:v>
      </x:c>
      <x:c r="C21" s="37" t="str">
        <x:v>jsonb</x:v>
      </x:c>
      <x:c r="D21" s="37" t="str">
        <x:v>NO</x:v>
      </x:c>
      <x:c r="E21" s="37" t="str"/>
      <x:c r="F21" s="37" t="str"/>
      <x:c r="G21" s="37" t="str"/>
      <x:c r="H21" s="37" t="str"/>
      <x:c r="I21" s="37" t="str">
        <x:v>イベント本文</x:v>
      </x:c>
    </x:row>
  </x:sheetData>
  <x:mergeCells>
    <x:mergeCell ref="A1:I1"/>
    <x:mergeCell ref="A2:I2"/>
  </x:mergeCells>
  <x:dataValidations count="1">
    <x:dataValidation type="list" sqref="D5:D2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6e8e62f86142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24" hidden="0" customWidth="1"/>
    <x:col min="4" max="4" width="12" hidden="0" customWidth="1"/>
    <x:col min="5" max="5" width="12" hidden="0" customWidth="1"/>
    <x:col min="6" max="6" width="28" hidden="0" customWidth="1"/>
    <x:col min="7" max="7" width="14" hidden="0" customWidth="1"/>
    <x:col min="8" max="8" width="14" hidden="0" customWidth="1"/>
  </x:cols>
  <x:sheetData>
    <x:row r="1" ht="32" customHeight="1">
      <x:c r="A1" s="3" t="str">
        <x:v>非機能要件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可用性・性能・復旧・セキュリティ・運用の受入基準</x:v>
      </x:c>
      <x:c r="B2" s="6"/>
      <x:c r="C2" s="6"/>
      <x:c r="D2" s="6"/>
      <x:c r="E2" s="6"/>
      <x:c r="F2" s="6"/>
      <x:c r="G2" s="6"/>
      <x:c r="H2" s="6"/>
    </x:row>
    <x:row r="4" ht="28" customHeight="1">
      <x:c r="A4" s="30" t="str">
        <x:v>NFR ID</x:v>
      </x:c>
      <x:c r="B4" s="30" t="str">
        <x:v>カテゴリ</x:v>
      </x:c>
      <x:c r="C4" s="30" t="str">
        <x:v>メトリクス</x:v>
      </x:c>
      <x:c r="D4" s="30" t="str">
        <x:v>目標値</x:v>
      </x:c>
      <x:c r="E4" s="30" t="str">
        <x:v>単位</x:v>
      </x:c>
      <x:c r="F4" s="30" t="str">
        <x:v>計測方法</x:v>
      </x:c>
      <x:c r="G4" s="30" t="str">
        <x:v>優先度</x:v>
      </x:c>
      <x:c r="H4" s="30" t="str">
        <x:v>状態</x:v>
      </x:c>
    </x:row>
    <x:row r="5" ht="30" customHeight="1">
      <x:c r="A5" s="36" t="str">
        <x:v>NFR-001</x:v>
      </x:c>
      <x:c r="B5" s="36" t="str">
        <x:v>可用性</x:v>
      </x:c>
      <x:c r="C5" s="36" t="str">
        <x:v>月間稼働率</x:v>
      </x:c>
      <x:c r="D5" s="42" t="n">
        <x:v>0.9995</x:v>
      </x:c>
      <x:c r="E5" s="36" t="str">
        <x:v>%</x:v>
      </x:c>
      <x:c r="F5" s="36" t="str">
        <x:v>外形監視の成功率</x:v>
      </x:c>
      <x:c r="G5" s="36" t="str">
        <x:v>Must</x:v>
      </x:c>
      <x:c r="H5" s="36" t="str">
        <x:v>対応済</x:v>
      </x:c>
    </x:row>
    <x:row r="6" ht="30" customHeight="1">
      <x:c r="A6" s="37" t="str">
        <x:v>NFR-002</x:v>
      </x:c>
      <x:c r="B6" s="37" t="str">
        <x:v>性能</x:v>
      </x:c>
      <x:c r="C6" s="37" t="str">
        <x:v>注文作成API P95</x:v>
      </x:c>
      <x:c r="D6" s="41" t="n">
        <x:v>300</x:v>
      </x:c>
      <x:c r="E6" s="37" t="str">
        <x:v>ms</x:v>
      </x:c>
      <x:c r="F6" s="37" t="str">
        <x:v>Gateway latency histogram</x:v>
      </x:c>
      <x:c r="G6" s="37" t="str">
        <x:v>Must</x:v>
      </x:c>
      <x:c r="H6" s="37" t="str">
        <x:v>進行中</x:v>
      </x:c>
    </x:row>
    <x:row r="7" ht="30" customHeight="1">
      <x:c r="A7" s="37" t="str">
        <x:v>NFR-003</x:v>
      </x:c>
      <x:c r="B7" s="37" t="str">
        <x:v>災害復旧</x:v>
      </x:c>
      <x:c r="C7" s="37" t="str">
        <x:v>RPO</x:v>
      </x:c>
      <x:c r="D7" s="41" t="n">
        <x:v>5</x:v>
      </x:c>
      <x:c r="E7" s="37" t="str">
        <x:v>分</x:v>
      </x:c>
      <x:c r="F7" s="37" t="str">
        <x:v>復旧訓練で確認</x:v>
      </x:c>
      <x:c r="G7" s="37" t="str">
        <x:v>Must</x:v>
      </x:c>
      <x:c r="H7" s="37" t="str">
        <x:v>未対応</x:v>
      </x:c>
    </x:row>
    <x:row r="8" ht="30" customHeight="1">
      <x:c r="A8" s="37" t="str">
        <x:v>NFR-004</x:v>
      </x:c>
      <x:c r="B8" s="37" t="str">
        <x:v>災害復旧</x:v>
      </x:c>
      <x:c r="C8" s="37" t="str">
        <x:v>RTO</x:v>
      </x:c>
      <x:c r="D8" s="41" t="n">
        <x:v>30</x:v>
      </x:c>
      <x:c r="E8" s="37" t="str">
        <x:v>分</x:v>
      </x:c>
      <x:c r="F8" s="37" t="str">
        <x:v>復旧訓練で確認</x:v>
      </x:c>
      <x:c r="G8" s="37" t="str">
        <x:v>Must</x:v>
      </x:c>
      <x:c r="H8" s="37" t="str">
        <x:v>未対応</x:v>
      </x:c>
    </x:row>
    <x:row r="9" ht="30" customHeight="1">
      <x:c r="A9" s="37" t="str">
        <x:v>NFR-005</x:v>
      </x:c>
      <x:c r="B9" s="37" t="str">
        <x:v>性能</x:v>
      </x:c>
      <x:c r="C9" s="37" t="str">
        <x:v>持続スループット</x:v>
      </x:c>
      <x:c r="D9" s="41" t="n">
        <x:v>250</x:v>
      </x:c>
      <x:c r="E9" s="37" t="str">
        <x:v>req/s</x:v>
      </x:c>
      <x:c r="F9" s="37" t="str">
        <x:v>負荷試験30分</x:v>
      </x:c>
      <x:c r="G9" s="37" t="str">
        <x:v>Should</x:v>
      </x:c>
      <x:c r="H9" s="37" t="str">
        <x:v>進行中</x:v>
      </x:c>
    </x:row>
    <x:row r="10" ht="30" customHeight="1">
      <x:c r="A10" s="37" t="str">
        <x:v>NFR-006</x:v>
      </x:c>
      <x:c r="B10" s="37" t="str">
        <x:v>セキュリティ</x:v>
      </x:c>
      <x:c r="C10" s="37" t="str">
        <x:v>保存時暗号化</x:v>
      </x:c>
      <x:c r="D10" s="41" t="n">
        <x:v>1</x:v>
      </x:c>
      <x:c r="E10" s="37" t="str">
        <x:v>必須</x:v>
      </x:c>
      <x:c r="F10" s="37" t="str">
        <x:v>構成監査</x:v>
      </x:c>
      <x:c r="G10" s="37" t="str">
        <x:v>Must</x:v>
      </x:c>
      <x:c r="H10" s="37" t="str">
        <x:v>対応済</x:v>
      </x:c>
    </x:row>
    <x:row r="11" ht="30" customHeight="1">
      <x:c r="A11" s="37" t="str">
        <x:v>NFR-007</x:v>
      </x:c>
      <x:c r="B11" s="37" t="str">
        <x:v>監査</x:v>
      </x:c>
      <x:c r="C11" s="37" t="str">
        <x:v>監査ログ保持</x:v>
      </x:c>
      <x:c r="D11" s="41" t="n">
        <x:v>365</x:v>
      </x:c>
      <x:c r="E11" s="37" t="str">
        <x:v>日</x:v>
      </x:c>
      <x:c r="F11" s="37" t="str">
        <x:v>ログ基盤の保持設定</x:v>
      </x:c>
      <x:c r="G11" s="37" t="str">
        <x:v>Should</x:v>
      </x:c>
      <x:c r="H11" s="37" t="str">
        <x:v>対応済</x:v>
      </x:c>
    </x:row>
  </x:sheetData>
  <x:mergeCells>
    <x:mergeCell ref="A1:H1"/>
    <x:mergeCell ref="A2:H2"/>
  </x:mergeCells>
  <x:conditionalFormatting sqref="H5:H11">
    <x:cfRule type="containsText" dxfId="0" priority="1" operator="containsText" text="未対応"/>
  </x:conditionalFormatting>
  <x:dataValidations count="2">
    <x:dataValidation type="list" sqref="G5:G11">
      <x:formula1>"Must,Should,Could"</x:formula1>
    </x:dataValidation>
    <x:dataValidation type="list" sqref="H5:H11">
      <x:formula1>"未対応,進行中,対応済"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cf5e0eec2445aa"/>
  </x:tableParts>
</x:worksheet>
</file>